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Panduan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Alur Jurnal Manufaktur" sheetId="3" state="visible" r:id="rId3"/>
    <sheet xmlns:r="http://schemas.openxmlformats.org/officeDocument/2006/relationships" name="Statistik &amp; Distribu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CE6F1"/>
      <sz val="11"/>
    </font>
    <font>
      <name val="Calibri"/>
      <b val="1"/>
      <color rgb="00595959"/>
      <sz val="9"/>
    </font>
    <font>
      <name val="Calibri"/>
      <b val="1"/>
      <color rgb="002F5496"/>
      <sz val="18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2F5496"/>
      <sz val="11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2F4F8"/>
        <bgColor rgb="00F2F4F8"/>
      </patternFill>
    </fill>
    <fill>
      <patternFill patternType="solid">
        <fgColor rgb="00DCE6F1"/>
        <bgColor rgb="00DCE6F1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medium">
        <color rgb="002F5496"/>
      </bottom>
      <diagonal/>
    </border>
    <border>
      <left/>
      <right style="thin">
        <color rgb="00D9D9D9"/>
      </right>
      <top style="thin">
        <color rgb="00D9D9D9"/>
      </top>
      <bottom style="medium">
        <color rgb="002F5496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10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indent="2"/>
    </xf>
    <xf numFmtId="0" fontId="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indent="3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indent="3"/>
    </xf>
    <xf numFmtId="0" fontId="0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7" pivotButton="0" quotePrefix="0" xfId="0"/>
    <xf numFmtId="0" fontId="6" fillId="5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Total Akun per Kategori COA Manufaktur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 &amp; Distribusi'!D6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 &amp; Distribusi'!$A$7:$A$13</f>
            </numRef>
          </cat>
          <val>
            <numRef>
              <f>'Statistik &amp; Distribusi'!$D$7:$D$13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 Utama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Akun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5" customWidth="1" min="4" max="4"/>
    <col width="18" customWidth="1" min="5" max="5"/>
    <col width="18" customWidth="1" min="6" max="6"/>
    <col width="30" customWidth="1" min="7" max="7"/>
  </cols>
  <sheetData>
    <row r="1" ht="28" customHeight="1">
      <c r="A1" s="1" t="inlineStr">
        <is>
          <t>PEMETAAN CHART OF ACCOUNTS (COA) STANDAR MANUFAKTUR</t>
        </is>
      </c>
    </row>
    <row r="2" ht="18" customHeight="1">
      <c r="A2" s="2" t="inlineStr">
        <is>
          <t>Sistem Akuntansi Terintegrasi Manufaktur &amp; Modul ERPNext/Frappe | Versi 1.0 (2026)</t>
        </is>
      </c>
    </row>
    <row r="3"/>
    <row r="4">
      <c r="A4" s="3" t="inlineStr">
        <is>
          <t>TOTAL STRUKTUR COA</t>
        </is>
      </c>
      <c r="B4" s="4" t="n"/>
      <c r="C4" s="3" t="inlineStr">
        <is>
          <t>AKUN PERSEDIAAN &amp; COSTING</t>
        </is>
      </c>
      <c r="D4" s="4" t="n"/>
      <c r="E4" s="3" t="inlineStr">
        <is>
          <t>KATEGORI UTAMA</t>
        </is>
      </c>
      <c r="F4" s="4" t="n"/>
    </row>
    <row r="5">
      <c r="A5" s="5">
        <f>COUNTA('Chart of Accounts'!A6:A70)</f>
        <v/>
      </c>
      <c r="B5" s="4" t="n"/>
      <c r="C5" s="5">
        <f>COUNTIF('Chart of Accounts'!E6:E70, "Stock") + COUNTIF('Chart of Accounts'!E6:E70, "Cost of Goods Sold")</f>
        <v/>
      </c>
      <c r="D5" s="4" t="n"/>
      <c r="E5" s="5" t="n">
        <v>7</v>
      </c>
      <c r="F5" s="4" t="n"/>
    </row>
    <row r="6"/>
    <row r="7">
      <c r="A7" s="6" t="inlineStr">
        <is>
          <t>1. DESKRIPSI &amp; TUJUAN MODEL</t>
        </is>
      </c>
    </row>
    <row r="8" ht="22" customHeight="1">
      <c r="A8" s="7" t="inlineStr">
        <is>
          <t>Fungsi Utama</t>
        </is>
      </c>
      <c r="B8" s="8" t="inlineStr">
        <is>
          <t>Menyediakan hierarki akun akuntansi standar khusus untuk entitas manufaktur yang mencakup akumulasi biaya bahan baku, tenaga kerja langsung, overhead pabrik (BOP), persediaan 3-tahap (Bahan Baku, WIP, Barang Jadi), dan HPP.</t>
        </is>
      </c>
    </row>
    <row r="9" ht="22" customHeight="1">
      <c r="A9" s="7" t="inlineStr">
        <is>
          <t>Kesesuaian ERPNext</t>
        </is>
      </c>
      <c r="B9" s="8" t="inlineStr">
        <is>
          <t>Dirancang agar sejalan secara presisi dengan ERPNext Root Types (Asset, Liability, Equity, Income, Expense) serta atribut Account Type (Stock, Cost of Goods Sold, Warehouse Clearing, dll.).</t>
        </is>
      </c>
    </row>
    <row r="10" ht="22" customHeight="1">
      <c r="A10" s="7" t="inlineStr">
        <is>
          <t>Tingkat Kedalaman</t>
        </is>
      </c>
      <c r="B10" s="8" t="inlineStr">
        <is>
          <t>Terdiri dari 4 Level Hierarki: Level 1 (Kategori Utama), Level 2 (Sub-Kelompok Utama), Level 3 (Akun Induk/Group), dan Level 4 (Akun Detail Transaksi).</t>
        </is>
      </c>
    </row>
    <row r="11"/>
    <row r="12">
      <c r="A12" s="6" t="inlineStr">
        <is>
          <t>2. ELEMEN KUNCI COA SPESIFIK MANUFAKTUR</t>
        </is>
      </c>
    </row>
    <row r="13">
      <c r="A13" s="9" t="inlineStr">
        <is>
          <t>Komponen Akun</t>
        </is>
      </c>
      <c r="B13" s="9" t="inlineStr">
        <is>
          <t>Kode Akun Ref</t>
        </is>
      </c>
      <c r="C13" s="9" t="inlineStr">
        <is>
          <t>Tipe ERPNext</t>
        </is>
      </c>
      <c r="D13" s="9" t="inlineStr">
        <is>
          <t>Fungsi Akuntansi Manufaktur</t>
        </is>
      </c>
      <c r="E13" s="10" t="n"/>
      <c r="F13" s="10" t="n"/>
      <c r="G13" s="11" t="n"/>
    </row>
    <row r="14" ht="20" customHeight="1">
      <c r="A14" s="12" t="inlineStr">
        <is>
          <t>Persediaan Bahan Baku</t>
        </is>
      </c>
      <c r="B14" s="13" t="inlineStr">
        <is>
          <t>11310</t>
        </is>
      </c>
      <c r="C14" s="13" t="inlineStr">
        <is>
          <t>Stock</t>
        </is>
      </c>
      <c r="D14" s="14" t="inlineStr">
        <is>
          <t>Menampung nilai persediaan material mentah yang dibeli dari supplier sebelum dirilis ke proses produksi.</t>
        </is>
      </c>
      <c r="E14" s="4" t="n"/>
      <c r="F14" s="4" t="n"/>
      <c r="G14" s="4" t="n"/>
    </row>
    <row r="15" ht="20" customHeight="1">
      <c r="A15" s="12" t="inlineStr">
        <is>
          <t>Persediaan Barang Dalam Proses (WIP)</t>
        </is>
      </c>
      <c r="B15" s="13" t="inlineStr">
        <is>
          <t>11330</t>
        </is>
      </c>
      <c r="C15" s="13" t="inlineStr">
        <is>
          <t>Stock</t>
        </is>
      </c>
      <c r="D15" s="14" t="inlineStr">
        <is>
          <t>Menampung akumulasi biaya bahan baku, BTKL, dan BOP yang sedang mengendap dalam saluran produksi (Floor).</t>
        </is>
      </c>
      <c r="E15" s="4" t="n"/>
      <c r="F15" s="4" t="n"/>
      <c r="G15" s="4" t="n"/>
    </row>
    <row r="16" ht="20" customHeight="1">
      <c r="A16" s="12" t="inlineStr">
        <is>
          <t>Persediaan Barang Jadi (Finished Goods)</t>
        </is>
      </c>
      <c r="B16" s="13" t="inlineStr">
        <is>
          <t>11340</t>
        </is>
      </c>
      <c r="C16" s="13" t="inlineStr">
        <is>
          <t>Stock</t>
        </is>
      </c>
      <c r="D16" s="14" t="inlineStr">
        <is>
          <t>Menampung nilai produk akhir hasil pabrikasi yang siap dijual kepada pelanggan.</t>
        </is>
      </c>
      <c r="E16" s="4" t="n"/>
      <c r="F16" s="4" t="n"/>
      <c r="G16" s="4" t="n"/>
    </row>
    <row r="17" ht="20" customHeight="1">
      <c r="A17" s="12" t="inlineStr">
        <is>
          <t>Biaya Bahan Baku Langsung (BBBL)</t>
        </is>
      </c>
      <c r="B17" s="13" t="inlineStr">
        <is>
          <t>51100</t>
        </is>
      </c>
      <c r="C17" s="13" t="inlineStr">
        <is>
          <t>Cost of Goods Sold</t>
        </is>
      </c>
      <c r="D17" s="14" t="inlineStr">
        <is>
          <t>Mencatat pemakaian langsung bahan baku utama yang membentuk fisik produk jadi.</t>
        </is>
      </c>
      <c r="E17" s="4" t="n"/>
      <c r="F17" s="4" t="n"/>
      <c r="G17" s="4" t="n"/>
    </row>
    <row r="18" ht="20" customHeight="1">
      <c r="A18" s="12" t="inlineStr">
        <is>
          <t>Biaya Tenaga Kerja Langsung (BTKL)</t>
        </is>
      </c>
      <c r="B18" s="13" t="inlineStr">
        <is>
          <t>52100</t>
        </is>
      </c>
      <c r="C18" s="13" t="inlineStr">
        <is>
          <t>Cost of Goods Sold</t>
        </is>
      </c>
      <c r="D18" s="14" t="inlineStr">
        <is>
          <t>Mencatat upah buruh, operator mesin, dan teknisi lantai produksi yang berhubungan langsung dengan pembuatan produk.</t>
        </is>
      </c>
      <c r="E18" s="4" t="n"/>
      <c r="F18" s="4" t="n"/>
      <c r="G18" s="4" t="n"/>
    </row>
    <row r="19" ht="20" customHeight="1">
      <c r="A19" s="12" t="inlineStr">
        <is>
          <t>Biaya Overhead Pabrik (BOP)</t>
        </is>
      </c>
      <c r="B19" s="13" t="inlineStr">
        <is>
          <t>53000-53600</t>
        </is>
      </c>
      <c r="C19" s="13" t="inlineStr">
        <is>
          <t>Cost of Goods Sold / Expense</t>
        </is>
      </c>
      <c r="D19" s="14" t="inlineStr">
        <is>
          <t>Menampung biaya tidak langsung pabrik: bahan penolong, listrik pabrik, penyusutan mesin, &amp; gaji supervisor.</t>
        </is>
      </c>
      <c r="E19" s="4" t="n"/>
      <c r="F19" s="4" t="n"/>
      <c r="G19" s="4" t="n"/>
    </row>
    <row r="20" ht="20" customHeight="1">
      <c r="A20" s="12" t="inlineStr">
        <is>
          <t>Variansi Produksi &amp; WIP Clearing</t>
        </is>
      </c>
      <c r="B20" s="13" t="inlineStr">
        <is>
          <t>54100</t>
        </is>
      </c>
      <c r="C20" s="13" t="inlineStr">
        <is>
          <t>Cost of Goods Sold</t>
        </is>
      </c>
      <c r="D20" s="14" t="inlineStr">
        <is>
          <t>Menampung selisih antara standar cost vs actual cost pada BOM (Bill of Materials) &amp; Work Orders.</t>
        </is>
      </c>
      <c r="E20" s="4" t="n"/>
      <c r="F20" s="4" t="n"/>
      <c r="G20" s="4" t="n"/>
    </row>
    <row r="21"/>
    <row r="22">
      <c r="A22" s="6" t="inlineStr">
        <is>
          <t>3. LEGEND ABNOMALITAS &amp; PEWARNAAN FORMAT</t>
        </is>
      </c>
    </row>
    <row r="23" ht="20" customHeight="1">
      <c r="A23" s="15" t="inlineStr">
        <is>
          <t>Header / Sub-Judul Kategori</t>
        </is>
      </c>
      <c r="B23" s="14" t="inlineStr">
        <is>
          <t>Level 1 &amp; Kategori Utama Akun (Aset, Kewajiban, Ekuitas, Pendapatan, HPP, Beban)</t>
        </is>
      </c>
      <c r="C23" s="4" t="n"/>
      <c r="D23" s="4" t="n"/>
      <c r="E23" s="4" t="n"/>
      <c r="F23" s="4" t="n"/>
      <c r="G23" s="4" t="n"/>
    </row>
    <row r="24" ht="20" customHeight="1">
      <c r="A24" s="16" t="inlineStr">
        <is>
          <t>Akun Induk / Group (Is Group = Ya)</t>
        </is>
      </c>
      <c r="B24" s="14" t="inlineStr">
        <is>
          <t>Akun Penampung Sub-Kelompok (Tidak digunakan untuk posting transaksi langsung)</t>
        </is>
      </c>
      <c r="C24" s="4" t="n"/>
      <c r="D24" s="4" t="n"/>
      <c r="E24" s="4" t="n"/>
      <c r="F24" s="4" t="n"/>
      <c r="G24" s="4" t="n"/>
    </row>
    <row r="25" ht="20" customHeight="1">
      <c r="A25" s="17" t="inlineStr">
        <is>
          <t>Akun Detail Transaksi (Is Group = Tidak)</t>
        </is>
      </c>
      <c r="B25" s="14" t="inlineStr">
        <is>
          <t>Akun Buku Besar (Ledger) aktif untuk jurnal transaksi operasional sehari-hari</t>
        </is>
      </c>
      <c r="C25" s="4" t="n"/>
      <c r="D25" s="4" t="n"/>
      <c r="E25" s="4" t="n"/>
      <c r="F25" s="4" t="n"/>
      <c r="G25" s="4" t="n"/>
    </row>
    <row r="26" ht="20" customHeight="1">
      <c r="A26" s="18" t="inlineStr">
        <is>
          <t>Atribut / Output Kalkulasi</t>
        </is>
      </c>
      <c r="B26" s="14" t="inlineStr">
        <is>
          <t>Cell yang memuat formula perhitungan rasio, akumulasi saldo, atau agregasi data</t>
        </is>
      </c>
      <c r="C26" s="4" t="n"/>
      <c r="D26" s="4" t="n"/>
      <c r="E26" s="4" t="n"/>
      <c r="F26" s="4" t="n"/>
      <c r="G26" s="4" t="n"/>
    </row>
  </sheetData>
  <mergeCells count="26">
    <mergeCell ref="D18:G18"/>
    <mergeCell ref="A22:G22"/>
    <mergeCell ref="B23:G23"/>
    <mergeCell ref="C5:D5"/>
    <mergeCell ref="B8:G8"/>
    <mergeCell ref="E5:F5"/>
    <mergeCell ref="D15:G15"/>
    <mergeCell ref="D14:G14"/>
    <mergeCell ref="C4:D4"/>
    <mergeCell ref="E4:F4"/>
    <mergeCell ref="B10:G10"/>
    <mergeCell ref="D20:G20"/>
    <mergeCell ref="B9:G9"/>
    <mergeCell ref="D19:G19"/>
    <mergeCell ref="B24:G24"/>
    <mergeCell ref="A1:G1"/>
    <mergeCell ref="A5:B5"/>
    <mergeCell ref="B26:G26"/>
    <mergeCell ref="A7:G7"/>
    <mergeCell ref="D13:G13"/>
    <mergeCell ref="B25:G25"/>
    <mergeCell ref="A4:B4"/>
    <mergeCell ref="D17:G17"/>
    <mergeCell ref="A12:G12"/>
    <mergeCell ref="D16:G1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22" customWidth="1" min="4" max="4"/>
    <col width="24" customWidth="1" min="5" max="5"/>
    <col width="12" customWidth="1" min="6" max="6"/>
    <col width="16" customWidth="1" min="7" max="7"/>
    <col width="50" customWidth="1" min="8" max="8"/>
  </cols>
  <sheetData>
    <row r="1" ht="26" customHeight="1">
      <c r="A1" s="1" t="inlineStr">
        <is>
          <t>STRUKTUR LENGKAP CHART OF ACCOUNTS (COA) MANUFAKTUR</t>
        </is>
      </c>
    </row>
    <row r="2" ht="18" customHeight="1">
      <c r="A2" s="2" t="inlineStr">
        <is>
          <t>Daftar Akun Standar Industri Pengolahan &amp; Pemetaan ERPNext Root/Account Type</t>
        </is>
      </c>
    </row>
    <row r="3"/>
    <row r="4"/>
    <row r="5" ht="26" customHeight="1">
      <c r="A5" s="9" t="inlineStr">
        <is>
          <t>Kode Akun</t>
        </is>
      </c>
      <c r="B5" s="9" t="inlineStr">
        <is>
          <t>Nama Akun (Indonesia / English)</t>
        </is>
      </c>
      <c r="C5" s="9" t="inlineStr">
        <is>
          <t>Level</t>
        </is>
      </c>
      <c r="D5" s="9" t="inlineStr">
        <is>
          <t>Kategori Utama (Root)</t>
        </is>
      </c>
      <c r="E5" s="9" t="inlineStr">
        <is>
          <t>Tipe Akun ERPNext</t>
        </is>
      </c>
      <c r="F5" s="9" t="inlineStr">
        <is>
          <t>Is Group</t>
        </is>
      </c>
      <c r="G5" s="9" t="inlineStr">
        <is>
          <t>Saldo Normal</t>
        </is>
      </c>
      <c r="H5" s="9" t="inlineStr">
        <is>
          <t>Fungsi Operasional &amp; Perlakuan Akuntansi</t>
        </is>
      </c>
    </row>
    <row r="6" ht="20" customHeight="1">
      <c r="A6" s="19" t="inlineStr">
        <is>
          <t>10000</t>
        </is>
      </c>
      <c r="B6" s="20" t="inlineStr">
        <is>
          <t>ASET (ASSETS)</t>
        </is>
      </c>
      <c r="C6" s="19" t="n">
        <v>1</v>
      </c>
      <c r="D6" s="19" t="inlineStr">
        <is>
          <t>Aset</t>
        </is>
      </c>
      <c r="E6" s="19" t="inlineStr">
        <is>
          <t>Asset</t>
        </is>
      </c>
      <c r="F6" s="19" t="inlineStr">
        <is>
          <t>Ya</t>
        </is>
      </c>
      <c r="G6" s="19" t="inlineStr">
        <is>
          <t>Debet</t>
        </is>
      </c>
      <c r="H6" s="21" t="inlineStr">
        <is>
          <t>Kelompok Utama Aset Perusahaan Manufaktur</t>
        </is>
      </c>
    </row>
    <row r="7" ht="20" customHeight="1">
      <c r="A7" s="22" t="inlineStr">
        <is>
          <t>11000</t>
        </is>
      </c>
      <c r="B7" s="23" t="inlineStr">
        <is>
          <t>Aset Lancar (Current Assets)</t>
        </is>
      </c>
      <c r="C7" s="22" t="n">
        <v>2</v>
      </c>
      <c r="D7" s="22" t="inlineStr">
        <is>
          <t>Aset</t>
        </is>
      </c>
      <c r="E7" s="22" t="inlineStr">
        <is>
          <t>Asset</t>
        </is>
      </c>
      <c r="F7" s="22" t="inlineStr">
        <is>
          <t>Ya</t>
        </is>
      </c>
      <c r="G7" s="22" t="inlineStr">
        <is>
          <t>Debet</t>
        </is>
      </c>
      <c r="H7" s="24" t="inlineStr">
        <is>
          <t>Sub-Kelompok Aset Lancar</t>
        </is>
      </c>
    </row>
    <row r="8" ht="20" customHeight="1">
      <c r="A8" s="22" t="inlineStr">
        <is>
          <t>11100</t>
        </is>
      </c>
      <c r="B8" s="25" t="inlineStr">
        <is>
          <t>Kas &amp; Bank (Cash &amp; Bank)</t>
        </is>
      </c>
      <c r="C8" s="22" t="n">
        <v>3</v>
      </c>
      <c r="D8" s="22" t="inlineStr">
        <is>
          <t>Aset</t>
        </is>
      </c>
      <c r="E8" s="22" t="inlineStr">
        <is>
          <t>Cash</t>
        </is>
      </c>
      <c r="F8" s="22" t="inlineStr">
        <is>
          <t>Ya</t>
        </is>
      </c>
      <c r="G8" s="22" t="inlineStr">
        <is>
          <t>Debet</t>
        </is>
      </c>
      <c r="H8" s="24" t="inlineStr">
        <is>
          <t>Grup Akun Kas dan Rebound Perbankan</t>
        </is>
      </c>
    </row>
    <row r="9" ht="20" customHeight="1">
      <c r="A9" s="26" t="inlineStr">
        <is>
          <t>11110</t>
        </is>
      </c>
      <c r="B9" s="27" t="inlineStr">
        <is>
          <t>Kas Kecil Pabrik (Factory Petty Cash)</t>
        </is>
      </c>
      <c r="C9" s="26" t="n">
        <v>4</v>
      </c>
      <c r="D9" s="26" t="inlineStr">
        <is>
          <t>Aset</t>
        </is>
      </c>
      <c r="E9" s="26" t="inlineStr">
        <is>
          <t>Cash</t>
        </is>
      </c>
      <c r="F9" s="26" t="inlineStr">
        <is>
          <t>Tidak</t>
        </is>
      </c>
      <c r="G9" s="26" t="inlineStr">
        <is>
          <t>Debet</t>
        </is>
      </c>
      <c r="H9" s="28" t="inlineStr">
        <is>
          <t>Kas tunai pengeluaran operasional kecil di area pabrik</t>
        </is>
      </c>
    </row>
    <row r="10" ht="20" customHeight="1">
      <c r="A10" s="29" t="inlineStr">
        <is>
          <t>11120</t>
        </is>
      </c>
      <c r="B10" s="30" t="inlineStr">
        <is>
          <t>Bank Utama IDR (Main Bank Account)</t>
        </is>
      </c>
      <c r="C10" s="29" t="n">
        <v>4</v>
      </c>
      <c r="D10" s="29" t="inlineStr">
        <is>
          <t>Aset</t>
        </is>
      </c>
      <c r="E10" s="29" t="inlineStr">
        <is>
          <t>Bank</t>
        </is>
      </c>
      <c r="F10" s="29" t="inlineStr">
        <is>
          <t>Tidak</t>
        </is>
      </c>
      <c r="G10" s="29" t="inlineStr">
        <is>
          <t>Debet</t>
        </is>
      </c>
      <c r="H10" s="31" t="inlineStr">
        <is>
          <t>Rekening bank operasional penerimaan &amp; pembayaran supplier</t>
        </is>
      </c>
    </row>
    <row r="11" ht="20" customHeight="1">
      <c r="A11" s="22" t="inlineStr">
        <is>
          <t>11200</t>
        </is>
      </c>
      <c r="B11" s="25" t="inlineStr">
        <is>
          <t>Piutang Usaha (Accounts Receivable)</t>
        </is>
      </c>
      <c r="C11" s="22" t="n">
        <v>3</v>
      </c>
      <c r="D11" s="22" t="inlineStr">
        <is>
          <t>Aset</t>
        </is>
      </c>
      <c r="E11" s="22" t="inlineStr">
        <is>
          <t>Receivable</t>
        </is>
      </c>
      <c r="F11" s="22" t="inlineStr">
        <is>
          <t>Ya</t>
        </is>
      </c>
      <c r="G11" s="22" t="inlineStr">
        <is>
          <t>Debet</t>
        </is>
      </c>
      <c r="H11" s="24" t="inlineStr">
        <is>
          <t>Grup Piutang Penjualan Barang Jadi</t>
        </is>
      </c>
    </row>
    <row r="12" ht="20" customHeight="1">
      <c r="A12" s="29" t="inlineStr">
        <is>
          <t>11210</t>
        </is>
      </c>
      <c r="B12" s="30" t="inlineStr">
        <is>
          <t>Piutang Dagang Pelanggan (Trade Receivables)</t>
        </is>
      </c>
      <c r="C12" s="29" t="n">
        <v>4</v>
      </c>
      <c r="D12" s="29" t="inlineStr">
        <is>
          <t>Aset</t>
        </is>
      </c>
      <c r="E12" s="29" t="inlineStr">
        <is>
          <t>Receivable</t>
        </is>
      </c>
      <c r="F12" s="29" t="inlineStr">
        <is>
          <t>Tidak</t>
        </is>
      </c>
      <c r="G12" s="29" t="inlineStr">
        <is>
          <t>Debet</t>
        </is>
      </c>
      <c r="H12" s="31" t="inlineStr">
        <is>
          <t>Tagihan atas penjualan produk jadi kepada distributor/customer</t>
        </is>
      </c>
    </row>
    <row r="13" ht="20" customHeight="1">
      <c r="A13" s="26" t="inlineStr">
        <is>
          <t>11220</t>
        </is>
      </c>
      <c r="B13" s="27" t="inlineStr">
        <is>
          <t>Cadangan Kerugian Piutang (Allowance for Bad Debts)</t>
        </is>
      </c>
      <c r="C13" s="26" t="n">
        <v>4</v>
      </c>
      <c r="D13" s="26" t="inlineStr">
        <is>
          <t>Aset</t>
        </is>
      </c>
      <c r="E13" s="26" t="inlineStr">
        <is>
          <t>Receivable</t>
        </is>
      </c>
      <c r="F13" s="26" t="inlineStr">
        <is>
          <t>Tidak</t>
        </is>
      </c>
      <c r="G13" s="26" t="inlineStr">
        <is>
          <t>Kredit</t>
        </is>
      </c>
      <c r="H13" s="28" t="inlineStr">
        <is>
          <t>Kontra akun pengurangan nilai piutang tak tertagih</t>
        </is>
      </c>
    </row>
    <row r="14" ht="20" customHeight="1">
      <c r="A14" s="22" t="inlineStr">
        <is>
          <t>11300</t>
        </is>
      </c>
      <c r="B14" s="25" t="inlineStr">
        <is>
          <t>Persediaan Manufaktur (Manufacturing Inventory)</t>
        </is>
      </c>
      <c r="C14" s="22" t="n">
        <v>3</v>
      </c>
      <c r="D14" s="22" t="inlineStr">
        <is>
          <t>Aset</t>
        </is>
      </c>
      <c r="E14" s="22" t="inlineStr">
        <is>
          <t>Stock</t>
        </is>
      </c>
      <c r="F14" s="22" t="inlineStr">
        <is>
          <t>Ya</t>
        </is>
      </c>
      <c r="G14" s="22" t="inlineStr">
        <is>
          <t>Debet</t>
        </is>
      </c>
      <c r="H14" s="24" t="inlineStr">
        <is>
          <t>Grup Utama Persediaan 3-Tahap Manufaktur</t>
        </is>
      </c>
    </row>
    <row r="15" ht="20" customHeight="1">
      <c r="A15" s="26" t="inlineStr">
        <is>
          <t>11310</t>
        </is>
      </c>
      <c r="B15" s="27" t="inlineStr">
        <is>
          <t>Persediaan Bahan Baku (Raw Materials Inventory)</t>
        </is>
      </c>
      <c r="C15" s="26" t="n">
        <v>4</v>
      </c>
      <c r="D15" s="26" t="inlineStr">
        <is>
          <t>Aset</t>
        </is>
      </c>
      <c r="E15" s="26" t="inlineStr">
        <is>
          <t>Stock</t>
        </is>
      </c>
      <c r="F15" s="26" t="inlineStr">
        <is>
          <t>Tidak</t>
        </is>
      </c>
      <c r="G15" s="26" t="inlineStr">
        <is>
          <t>Debet</t>
        </is>
      </c>
      <c r="H15" s="28" t="inlineStr">
        <is>
          <t>Bahan utama mentah yang belum diproses</t>
        </is>
      </c>
    </row>
    <row r="16" ht="20" customHeight="1">
      <c r="A16" s="29" t="inlineStr">
        <is>
          <t>11320</t>
        </is>
      </c>
      <c r="B16" s="30" t="inlineStr">
        <is>
          <t>Persediaan Bahan Penolong &amp; Pengemas (Auxiliary &amp; Packaging)</t>
        </is>
      </c>
      <c r="C16" s="29" t="n">
        <v>4</v>
      </c>
      <c r="D16" s="29" t="inlineStr">
        <is>
          <t>Aset</t>
        </is>
      </c>
      <c r="E16" s="29" t="inlineStr">
        <is>
          <t>Stock</t>
        </is>
      </c>
      <c r="F16" s="29" t="inlineStr">
        <is>
          <t>Tidak</t>
        </is>
      </c>
      <c r="G16" s="29" t="inlineStr">
        <is>
          <t>Debet</t>
        </is>
      </c>
      <c r="H16" s="31" t="inlineStr">
        <is>
          <t>Material pembantu produksi &amp; kemasan produk</t>
        </is>
      </c>
    </row>
    <row r="17" ht="20" customHeight="1">
      <c r="A17" s="26" t="inlineStr">
        <is>
          <t>11330</t>
        </is>
      </c>
      <c r="B17" s="27" t="inlineStr">
        <is>
          <t>Persediaan Barang Dalam Proses (Work-in-Progress / WIP)</t>
        </is>
      </c>
      <c r="C17" s="26" t="n">
        <v>4</v>
      </c>
      <c r="D17" s="26" t="inlineStr">
        <is>
          <t>Aset</t>
        </is>
      </c>
      <c r="E17" s="26" t="inlineStr">
        <is>
          <t>Stock</t>
        </is>
      </c>
      <c r="F17" s="26" t="inlineStr">
        <is>
          <t>Tidak</t>
        </is>
      </c>
      <c r="G17" s="26" t="inlineStr">
        <is>
          <t>Debet</t>
        </is>
      </c>
      <c r="H17" s="28" t="inlineStr">
        <is>
          <t>Nilai barang yang masih dalam lini pabrikasi</t>
        </is>
      </c>
    </row>
    <row r="18" ht="20" customHeight="1">
      <c r="A18" s="29" t="inlineStr">
        <is>
          <t>11340</t>
        </is>
      </c>
      <c r="B18" s="30" t="inlineStr">
        <is>
          <t>Persediaan Barang Jadi (Finished Goods Inventory)</t>
        </is>
      </c>
      <c r="C18" s="29" t="n">
        <v>4</v>
      </c>
      <c r="D18" s="29" t="inlineStr">
        <is>
          <t>Aset</t>
        </is>
      </c>
      <c r="E18" s="29" t="inlineStr">
        <is>
          <t>Stock</t>
        </is>
      </c>
      <c r="F18" s="29" t="inlineStr">
        <is>
          <t>Tidak</t>
        </is>
      </c>
      <c r="G18" s="29" t="inlineStr">
        <is>
          <t>Debet</t>
        </is>
      </c>
      <c r="H18" s="31" t="inlineStr">
        <is>
          <t>Produk akhir siap diserahterimakan ke penjualan</t>
        </is>
      </c>
    </row>
    <row r="19" ht="20" customHeight="1">
      <c r="A19" s="26" t="inlineStr">
        <is>
          <t>11350</t>
        </is>
      </c>
      <c r="B19" s="27" t="inlineStr">
        <is>
          <t>Persediaan Suku Cadang Mesin (Spare Parts &amp; Maintenance)</t>
        </is>
      </c>
      <c r="C19" s="26" t="n">
        <v>4</v>
      </c>
      <c r="D19" s="26" t="inlineStr">
        <is>
          <t>Aset</t>
        </is>
      </c>
      <c r="E19" s="26" t="inlineStr">
        <is>
          <t>Stock</t>
        </is>
      </c>
      <c r="F19" s="26" t="inlineStr">
        <is>
          <t>Tidak</t>
        </is>
      </c>
      <c r="G19" s="26" t="inlineStr">
        <is>
          <t>Debet</t>
        </is>
      </c>
      <c r="H19" s="28" t="inlineStr">
        <is>
          <t>Komponen cadangan untuk perawatan mesin produksi</t>
        </is>
      </c>
    </row>
    <row r="20" ht="20" customHeight="1">
      <c r="A20" s="22" t="inlineStr">
        <is>
          <t>11400</t>
        </is>
      </c>
      <c r="B20" s="25" t="inlineStr">
        <is>
          <t>Beban Dibayar di Muka (Prepaid Expenses)</t>
        </is>
      </c>
      <c r="C20" s="22" t="n">
        <v>3</v>
      </c>
      <c r="D20" s="22" t="inlineStr">
        <is>
          <t>Aset</t>
        </is>
      </c>
      <c r="E20" s="22" t="inlineStr">
        <is>
          <t>Asset</t>
        </is>
      </c>
      <c r="F20" s="22" t="inlineStr">
        <is>
          <t>Ya</t>
        </is>
      </c>
      <c r="G20" s="22" t="inlineStr">
        <is>
          <t>Debet</t>
        </is>
      </c>
      <c r="H20" s="24" t="inlineStr">
        <is>
          <t>Uang muka biaya operasional/pabrik</t>
        </is>
      </c>
    </row>
    <row r="21" ht="20" customHeight="1">
      <c r="A21" s="26" t="inlineStr">
        <is>
          <t>11410</t>
        </is>
      </c>
      <c r="B21" s="27" t="inlineStr">
        <is>
          <t>Asuransi Pabrik Dibayar di Muka (Prepaid Factory Insurance)</t>
        </is>
      </c>
      <c r="C21" s="26" t="n">
        <v>4</v>
      </c>
      <c r="D21" s="26" t="inlineStr">
        <is>
          <t>Aset</t>
        </is>
      </c>
      <c r="E21" s="26" t="inlineStr">
        <is>
          <t>Asset</t>
        </is>
      </c>
      <c r="F21" s="26" t="inlineStr">
        <is>
          <t>Tidak</t>
        </is>
      </c>
      <c r="G21" s="26" t="inlineStr">
        <is>
          <t>Debet</t>
        </is>
      </c>
      <c r="H21" s="28" t="inlineStr">
        <is>
          <t>Premis asuransi gedung &amp; mesin pabrik</t>
        </is>
      </c>
    </row>
    <row r="22" ht="20" customHeight="1">
      <c r="A22" s="22" t="inlineStr">
        <is>
          <t>12000</t>
        </is>
      </c>
      <c r="B22" s="23" t="inlineStr">
        <is>
          <t>Aset Tetap (Fixed Assets)</t>
        </is>
      </c>
      <c r="C22" s="22" t="n">
        <v>2</v>
      </c>
      <c r="D22" s="22" t="inlineStr">
        <is>
          <t>Aset</t>
        </is>
      </c>
      <c r="E22" s="22" t="inlineStr">
        <is>
          <t>Fixed Asset</t>
        </is>
      </c>
      <c r="F22" s="22" t="inlineStr">
        <is>
          <t>Ya</t>
        </is>
      </c>
      <c r="G22" s="22" t="inlineStr">
        <is>
          <t>Debet</t>
        </is>
      </c>
      <c r="H22" s="24" t="inlineStr">
        <is>
          <t>Sub-Kelompok Aset Tetap Pabrikasi</t>
        </is>
      </c>
    </row>
    <row r="23" ht="20" customHeight="1">
      <c r="A23" s="26" t="inlineStr">
        <is>
          <t>12100</t>
        </is>
      </c>
      <c r="B23" s="32" t="inlineStr">
        <is>
          <t>Tanah &amp; Bangunan Pabrik (Factory Land &amp; Buildings)</t>
        </is>
      </c>
      <c r="C23" s="26" t="n">
        <v>3</v>
      </c>
      <c r="D23" s="26" t="inlineStr">
        <is>
          <t>Aset</t>
        </is>
      </c>
      <c r="E23" s="26" t="inlineStr">
        <is>
          <t>Fixed Asset</t>
        </is>
      </c>
      <c r="F23" s="26" t="inlineStr">
        <is>
          <t>Tidak</t>
        </is>
      </c>
      <c r="G23" s="26" t="inlineStr">
        <is>
          <t>Debet</t>
        </is>
      </c>
      <c r="H23" s="28" t="inlineStr">
        <is>
          <t>Lahan &amp; gedung area produksi / gudang</t>
        </is>
      </c>
    </row>
    <row r="24" ht="20" customHeight="1">
      <c r="A24" s="29" t="inlineStr">
        <is>
          <t>12200</t>
        </is>
      </c>
      <c r="B24" s="25" t="inlineStr">
        <is>
          <t>Mesin &amp; Peralatan Produksi (Plant Machinery &amp; Equipment)</t>
        </is>
      </c>
      <c r="C24" s="29" t="n">
        <v>3</v>
      </c>
      <c r="D24" s="29" t="inlineStr">
        <is>
          <t>Aset</t>
        </is>
      </c>
      <c r="E24" s="29" t="inlineStr">
        <is>
          <t>Fixed Asset</t>
        </is>
      </c>
      <c r="F24" s="29" t="inlineStr">
        <is>
          <t>Tidak</t>
        </is>
      </c>
      <c r="G24" s="29" t="inlineStr">
        <is>
          <t>Debet</t>
        </is>
      </c>
      <c r="H24" s="31" t="inlineStr">
        <is>
          <t>Mesin lini perakitan, conveyor, &amp; perkakas berat</t>
        </is>
      </c>
    </row>
    <row r="25" ht="20" customHeight="1">
      <c r="A25" s="26" t="inlineStr">
        <is>
          <t>12300</t>
        </is>
      </c>
      <c r="B25" s="32" t="inlineStr">
        <is>
          <t>Kendaraan Operasional &amp; Logistik (Logistics Vehicles)</t>
        </is>
      </c>
      <c r="C25" s="26" t="n">
        <v>3</v>
      </c>
      <c r="D25" s="26" t="inlineStr">
        <is>
          <t>Aset</t>
        </is>
      </c>
      <c r="E25" s="26" t="inlineStr">
        <is>
          <t>Fixed Asset</t>
        </is>
      </c>
      <c r="F25" s="26" t="inlineStr">
        <is>
          <t>Tidak</t>
        </is>
      </c>
      <c r="G25" s="26" t="inlineStr">
        <is>
          <t>Debet</t>
        </is>
      </c>
      <c r="H25" s="28" t="inlineStr">
        <is>
          <t>Truk angkut, forklift, &amp; kendaraan pabrik</t>
        </is>
      </c>
    </row>
    <row r="26" ht="20" customHeight="1">
      <c r="A26" s="29" t="inlineStr">
        <is>
          <t>12400</t>
        </is>
      </c>
      <c r="B26" s="25" t="inlineStr">
        <is>
          <t>Akumulasi Penyusutan Aset Tetap (Accumulated Depreciation)</t>
        </is>
      </c>
      <c r="C26" s="29" t="n">
        <v>3</v>
      </c>
      <c r="D26" s="29" t="inlineStr">
        <is>
          <t>Aset</t>
        </is>
      </c>
      <c r="E26" s="29" t="inlineStr">
        <is>
          <t>Accumulated Depreciation</t>
        </is>
      </c>
      <c r="F26" s="29" t="inlineStr">
        <is>
          <t>Tidak</t>
        </is>
      </c>
      <c r="G26" s="29" t="inlineStr">
        <is>
          <t>Kredit</t>
        </is>
      </c>
      <c r="H26" s="31" t="inlineStr">
        <is>
          <t>Akumulasi depresiasi mesin, gedung, &amp; kendaraan</t>
        </is>
      </c>
    </row>
    <row r="27" ht="20" customHeight="1">
      <c r="A27" s="19" t="inlineStr">
        <is>
          <t>20000</t>
        </is>
      </c>
      <c r="B27" s="20" t="inlineStr">
        <is>
          <t>KEWAJIBAN (LIABILITIES)</t>
        </is>
      </c>
      <c r="C27" s="19" t="n">
        <v>1</v>
      </c>
      <c r="D27" s="19" t="inlineStr">
        <is>
          <t>Kewajiban</t>
        </is>
      </c>
      <c r="E27" s="19" t="inlineStr">
        <is>
          <t>Liability</t>
        </is>
      </c>
      <c r="F27" s="19" t="inlineStr">
        <is>
          <t>Ya</t>
        </is>
      </c>
      <c r="G27" s="19" t="inlineStr">
        <is>
          <t>Kredit</t>
        </is>
      </c>
      <c r="H27" s="21" t="inlineStr">
        <is>
          <t>Kelompok Utama Kewajiban / Utang Manufaktur</t>
        </is>
      </c>
    </row>
    <row r="28" ht="20" customHeight="1">
      <c r="A28" s="22" t="inlineStr">
        <is>
          <t>21000</t>
        </is>
      </c>
      <c r="B28" s="23" t="inlineStr">
        <is>
          <t>Kewajiban Jangka Pendek (Current Liabilities)</t>
        </is>
      </c>
      <c r="C28" s="22" t="n">
        <v>2</v>
      </c>
      <c r="D28" s="22" t="inlineStr">
        <is>
          <t>Kewajiban</t>
        </is>
      </c>
      <c r="E28" s="22" t="inlineStr">
        <is>
          <t>Liability</t>
        </is>
      </c>
      <c r="F28" s="22" t="inlineStr">
        <is>
          <t>Ya</t>
        </is>
      </c>
      <c r="G28" s="22" t="inlineStr">
        <is>
          <t>Kredit</t>
        </is>
      </c>
      <c r="H28" s="24" t="inlineStr">
        <is>
          <t>Sub-Kelompok Utang Lancar &lt; 1 Tahun</t>
        </is>
      </c>
    </row>
    <row r="29" ht="20" customHeight="1">
      <c r="A29" s="22" t="inlineStr">
        <is>
          <t>21100</t>
        </is>
      </c>
      <c r="B29" s="25" t="inlineStr">
        <is>
          <t>Utang Usaha / Pemasok (Accounts Payable)</t>
        </is>
      </c>
      <c r="C29" s="22" t="n">
        <v>3</v>
      </c>
      <c r="D29" s="22" t="inlineStr">
        <is>
          <t>Kewajiban</t>
        </is>
      </c>
      <c r="E29" s="22" t="inlineStr">
        <is>
          <t>Payable</t>
        </is>
      </c>
      <c r="F29" s="22" t="inlineStr">
        <is>
          <t>Ya</t>
        </is>
      </c>
      <c r="G29" s="22" t="inlineStr">
        <is>
          <t>Kredit</t>
        </is>
      </c>
      <c r="H29" s="24" t="inlineStr">
        <is>
          <t>Grup Utang Pembelian Material</t>
        </is>
      </c>
    </row>
    <row r="30" ht="20" customHeight="1">
      <c r="A30" s="29" t="inlineStr">
        <is>
          <t>21110</t>
        </is>
      </c>
      <c r="B30" s="30" t="inlineStr">
        <is>
          <t>Utang Dagang Pemasok Bahan Baku (Raw Material Suppliers)</t>
        </is>
      </c>
      <c r="C30" s="29" t="n">
        <v>4</v>
      </c>
      <c r="D30" s="29" t="inlineStr">
        <is>
          <t>Kewajiban</t>
        </is>
      </c>
      <c r="E30" s="29" t="inlineStr">
        <is>
          <t>Payable</t>
        </is>
      </c>
      <c r="F30" s="29" t="inlineStr">
        <is>
          <t>Tidak</t>
        </is>
      </c>
      <c r="G30" s="29" t="inlineStr">
        <is>
          <t>Kredit</t>
        </is>
      </c>
      <c r="H30" s="31" t="inlineStr">
        <is>
          <t>Kewajiban pembayaran kepada vendor bahan baku</t>
        </is>
      </c>
    </row>
    <row r="31" ht="20" customHeight="1">
      <c r="A31" s="22" t="inlineStr">
        <is>
          <t>21200</t>
        </is>
      </c>
      <c r="B31" s="25" t="inlineStr">
        <is>
          <t>Kewajiban Gaji &amp; Akrual (Accrued Payroll &amp; Expenses)</t>
        </is>
      </c>
      <c r="C31" s="22" t="n">
        <v>3</v>
      </c>
      <c r="D31" s="22" t="inlineStr">
        <is>
          <t>Kewajiban</t>
        </is>
      </c>
      <c r="E31" s="22" t="inlineStr">
        <is>
          <t>Liability</t>
        </is>
      </c>
      <c r="F31" s="22" t="inlineStr">
        <is>
          <t>Ya</t>
        </is>
      </c>
      <c r="G31" s="22" t="inlineStr">
        <is>
          <t>Kredit</t>
        </is>
      </c>
      <c r="H31" s="24" t="inlineStr">
        <is>
          <t>Akrual beban pekerja &amp; fasilitas pabrik</t>
        </is>
      </c>
    </row>
    <row r="32" ht="20" customHeight="1">
      <c r="A32" s="29" t="inlineStr">
        <is>
          <t>21210</t>
        </is>
      </c>
      <c r="B32" s="30" t="inlineStr">
        <is>
          <t>Utang Gaji &amp; Upah Buruh Pabrik (Accrued Direct Labor Wages)</t>
        </is>
      </c>
      <c r="C32" s="29" t="n">
        <v>4</v>
      </c>
      <c r="D32" s="29" t="inlineStr">
        <is>
          <t>Kewajiban</t>
        </is>
      </c>
      <c r="E32" s="29" t="inlineStr">
        <is>
          <t>Liability</t>
        </is>
      </c>
      <c r="F32" s="29" t="inlineStr">
        <is>
          <t>Tidak</t>
        </is>
      </c>
      <c r="G32" s="29" t="inlineStr">
        <is>
          <t>Kredit</t>
        </is>
      </c>
      <c r="H32" s="31" t="inlineStr">
        <is>
          <t>Upah tenaga kerja langsung yang belum dibayarkan</t>
        </is>
      </c>
    </row>
    <row r="33" ht="20" customHeight="1">
      <c r="A33" s="26" t="inlineStr">
        <is>
          <t>21220</t>
        </is>
      </c>
      <c r="B33" s="27" t="inlineStr">
        <is>
          <t>Utang Beban Utilitas Pabrik (Accrued Factory Utilities)</t>
        </is>
      </c>
      <c r="C33" s="26" t="n">
        <v>4</v>
      </c>
      <c r="D33" s="26" t="inlineStr">
        <is>
          <t>Kewajiban</t>
        </is>
      </c>
      <c r="E33" s="26" t="inlineStr">
        <is>
          <t>Liability</t>
        </is>
      </c>
      <c r="F33" s="26" t="inlineStr">
        <is>
          <t>Tidak</t>
        </is>
      </c>
      <c r="G33" s="26" t="inlineStr">
        <is>
          <t>Kredit</t>
        </is>
      </c>
      <c r="H33" s="28" t="inlineStr">
        <is>
          <t>Tagihan listrik PLN &amp; air pabrik terutang</t>
        </is>
      </c>
    </row>
    <row r="34" ht="20" customHeight="1">
      <c r="A34" s="29" t="inlineStr">
        <is>
          <t>21300</t>
        </is>
      </c>
      <c r="B34" s="25" t="inlineStr">
        <is>
          <t>Utang Pajak (Tax Payables)</t>
        </is>
      </c>
      <c r="C34" s="29" t="n">
        <v>3</v>
      </c>
      <c r="D34" s="29" t="inlineStr">
        <is>
          <t>Kewajiban</t>
        </is>
      </c>
      <c r="E34" s="29" t="inlineStr">
        <is>
          <t>Liability</t>
        </is>
      </c>
      <c r="F34" s="29" t="inlineStr">
        <is>
          <t>Tidak</t>
        </is>
      </c>
      <c r="G34" s="29" t="inlineStr">
        <is>
          <t>Kredit</t>
        </is>
      </c>
      <c r="H34" s="31" t="inlineStr">
        <is>
          <t>Utang PPN Keluaran, PPh 21, PPh 23/22</t>
        </is>
      </c>
    </row>
    <row r="35" ht="20" customHeight="1">
      <c r="A35" s="22" t="inlineStr">
        <is>
          <t>22000</t>
        </is>
      </c>
      <c r="B35" s="23" t="inlineStr">
        <is>
          <t>Kewajiban Jangka Panjang (Long-Term Liabilities)</t>
        </is>
      </c>
      <c r="C35" s="22" t="n">
        <v>2</v>
      </c>
      <c r="D35" s="22" t="inlineStr">
        <is>
          <t>Kewajiban</t>
        </is>
      </c>
      <c r="E35" s="22" t="inlineStr">
        <is>
          <t>Liability</t>
        </is>
      </c>
      <c r="F35" s="22" t="inlineStr">
        <is>
          <t>Ya</t>
        </is>
      </c>
      <c r="G35" s="22" t="inlineStr">
        <is>
          <t>Kredit</t>
        </is>
      </c>
      <c r="H35" s="24" t="inlineStr">
        <is>
          <t>Sub-Kelompok Utang &gt; 1 Tahun</t>
        </is>
      </c>
    </row>
    <row r="36" ht="20" customHeight="1">
      <c r="A36" s="29" t="inlineStr">
        <is>
          <t>22100</t>
        </is>
      </c>
      <c r="B36" s="25" t="inlineStr">
        <is>
          <t>Utang Bank Jangka Panjang (Long-Term Bank Loans)</t>
        </is>
      </c>
      <c r="C36" s="29" t="n">
        <v>3</v>
      </c>
      <c r="D36" s="29" t="inlineStr">
        <is>
          <t>Kewajiban</t>
        </is>
      </c>
      <c r="E36" s="29" t="inlineStr">
        <is>
          <t>Liability</t>
        </is>
      </c>
      <c r="F36" s="29" t="inlineStr">
        <is>
          <t>Tidak</t>
        </is>
      </c>
      <c r="G36" s="29" t="inlineStr">
        <is>
          <t>Kredit</t>
        </is>
      </c>
      <c r="H36" s="31" t="inlineStr">
        <is>
          <t>Pinjaman kredit investasi mesin/pabrik</t>
        </is>
      </c>
    </row>
    <row r="37" ht="20" customHeight="1">
      <c r="A37" s="26" t="inlineStr">
        <is>
          <t>22200</t>
        </is>
      </c>
      <c r="B37" s="32" t="inlineStr">
        <is>
          <t>Utang Leasing Mesin (Machinery Lease Liabilities)</t>
        </is>
      </c>
      <c r="C37" s="26" t="n">
        <v>3</v>
      </c>
      <c r="D37" s="26" t="inlineStr">
        <is>
          <t>Kewajiban</t>
        </is>
      </c>
      <c r="E37" s="26" t="inlineStr">
        <is>
          <t>Liability</t>
        </is>
      </c>
      <c r="F37" s="26" t="inlineStr">
        <is>
          <t>Tidak</t>
        </is>
      </c>
      <c r="G37" s="26" t="inlineStr">
        <is>
          <t>Kredit</t>
        </is>
      </c>
      <c r="H37" s="28" t="inlineStr">
        <is>
          <t>Kewajiban sewa pembiayaan peralatan pabrik</t>
        </is>
      </c>
    </row>
    <row r="38" ht="20" customHeight="1">
      <c r="A38" s="19" t="inlineStr">
        <is>
          <t>30000</t>
        </is>
      </c>
      <c r="B38" s="20" t="inlineStr">
        <is>
          <t>EKUITAS (EQUITY)</t>
        </is>
      </c>
      <c r="C38" s="19" t="n">
        <v>1</v>
      </c>
      <c r="D38" s="19" t="inlineStr">
        <is>
          <t>Ekuitas</t>
        </is>
      </c>
      <c r="E38" s="19" t="inlineStr">
        <is>
          <t>Equity</t>
        </is>
      </c>
      <c r="F38" s="19" t="inlineStr">
        <is>
          <t>Ya</t>
        </is>
      </c>
      <c r="G38" s="19" t="inlineStr">
        <is>
          <t>Kredit</t>
        </is>
      </c>
      <c r="H38" s="21" t="inlineStr">
        <is>
          <t>Kelompok Utama Modal &amp; Ekuitas Pemilik</t>
        </is>
      </c>
    </row>
    <row r="39" ht="20" customHeight="1">
      <c r="A39" s="26" t="inlineStr">
        <is>
          <t>31000</t>
        </is>
      </c>
      <c r="B39" s="33" t="inlineStr">
        <is>
          <t>Modal Disetor (Paid-in Capital)</t>
        </is>
      </c>
      <c r="C39" s="26" t="n">
        <v>2</v>
      </c>
      <c r="D39" s="26" t="inlineStr">
        <is>
          <t>Ekuitas</t>
        </is>
      </c>
      <c r="E39" s="26" t="inlineStr">
        <is>
          <t>Equity</t>
        </is>
      </c>
      <c r="F39" s="26" t="inlineStr">
        <is>
          <t>Tidak</t>
        </is>
      </c>
      <c r="G39" s="26" t="inlineStr">
        <is>
          <t>Kredit</t>
        </is>
      </c>
      <c r="H39" s="28" t="inlineStr">
        <is>
          <t>Setoran modal saham awal &amp; tambahan</t>
        </is>
      </c>
    </row>
    <row r="40" ht="20" customHeight="1">
      <c r="A40" s="29" t="inlineStr">
        <is>
          <t>32000</t>
        </is>
      </c>
      <c r="B40" s="34" t="inlineStr">
        <is>
          <t>Laba Ditahan (Retained Earnings)</t>
        </is>
      </c>
      <c r="C40" s="29" t="n">
        <v>2</v>
      </c>
      <c r="D40" s="29" t="inlineStr">
        <is>
          <t>Ekuitas</t>
        </is>
      </c>
      <c r="E40" s="29" t="inlineStr">
        <is>
          <t>Equity</t>
        </is>
      </c>
      <c r="F40" s="29" t="inlineStr">
        <is>
          <t>Tidak</t>
        </is>
      </c>
      <c r="G40" s="29" t="inlineStr">
        <is>
          <t>Kredit</t>
        </is>
      </c>
      <c r="H40" s="31" t="inlineStr">
        <is>
          <t>Akumulasi laba bersih periode sebelumnya</t>
        </is>
      </c>
    </row>
    <row r="41" ht="20" customHeight="1">
      <c r="A41" s="26" t="inlineStr">
        <is>
          <t>33000</t>
        </is>
      </c>
      <c r="B41" s="33" t="inlineStr">
        <is>
          <t>Laba / Rugi Tahun Berjalan (Current Year Profit/Loss)</t>
        </is>
      </c>
      <c r="C41" s="26" t="n">
        <v>2</v>
      </c>
      <c r="D41" s="26" t="inlineStr">
        <is>
          <t>Ekuitas</t>
        </is>
      </c>
      <c r="E41" s="26" t="inlineStr">
        <is>
          <t>Equity</t>
        </is>
      </c>
      <c r="F41" s="26" t="inlineStr">
        <is>
          <t>Tidak</t>
        </is>
      </c>
      <c r="G41" s="26" t="inlineStr">
        <is>
          <t>Kredit</t>
        </is>
      </c>
      <c r="H41" s="28" t="inlineStr">
        <is>
          <t>Hasil bersih operasional tahun berjalan</t>
        </is>
      </c>
    </row>
    <row r="42" ht="20" customHeight="1">
      <c r="A42" s="19" t="inlineStr">
        <is>
          <t>40000</t>
        </is>
      </c>
      <c r="B42" s="20" t="inlineStr">
        <is>
          <t>PENDAPATAN (INCOME)</t>
        </is>
      </c>
      <c r="C42" s="19" t="n">
        <v>1</v>
      </c>
      <c r="D42" s="19" t="inlineStr">
        <is>
          <t>Pendapatan</t>
        </is>
      </c>
      <c r="E42" s="19" t="inlineStr">
        <is>
          <t>Income</t>
        </is>
      </c>
      <c r="F42" s="19" t="inlineStr">
        <is>
          <t>Ya</t>
        </is>
      </c>
      <c r="G42" s="19" t="inlineStr">
        <is>
          <t>Kredit</t>
        </is>
      </c>
      <c r="H42" s="21" t="inlineStr">
        <is>
          <t>Kelompok Utama Pendapatan Penjualan</t>
        </is>
      </c>
    </row>
    <row r="43" ht="20" customHeight="1">
      <c r="A43" s="22" t="inlineStr">
        <is>
          <t>41000</t>
        </is>
      </c>
      <c r="B43" s="23" t="inlineStr">
        <is>
          <t>Pendapatan Penjualan Produk (Product Sales Revenue)</t>
        </is>
      </c>
      <c r="C43" s="22" t="n">
        <v>2</v>
      </c>
      <c r="D43" s="22" t="inlineStr">
        <is>
          <t>Pendapatan</t>
        </is>
      </c>
      <c r="E43" s="22" t="inlineStr">
        <is>
          <t>Income</t>
        </is>
      </c>
      <c r="F43" s="22" t="inlineStr">
        <is>
          <t>Ya</t>
        </is>
      </c>
      <c r="G43" s="22" t="inlineStr">
        <is>
          <t>Kredit</t>
        </is>
      </c>
      <c r="H43" s="24" t="inlineStr">
        <is>
          <t>Grup Penjualan Barang Jadi</t>
        </is>
      </c>
    </row>
    <row r="44" ht="20" customHeight="1">
      <c r="A44" s="29" t="inlineStr">
        <is>
          <t>41100</t>
        </is>
      </c>
      <c r="B44" s="25" t="inlineStr">
        <is>
          <t>Penjualan Barang Jadi - Domestik (Domestic FG Sales)</t>
        </is>
      </c>
      <c r="C44" s="29" t="n">
        <v>3</v>
      </c>
      <c r="D44" s="29" t="inlineStr">
        <is>
          <t>Pendapatan</t>
        </is>
      </c>
      <c r="E44" s="29" t="inlineStr">
        <is>
          <t>Income</t>
        </is>
      </c>
      <c r="F44" s="29" t="inlineStr">
        <is>
          <t>Tidak</t>
        </is>
      </c>
      <c r="G44" s="29" t="inlineStr">
        <is>
          <t>Kredit</t>
        </is>
      </c>
      <c r="H44" s="31" t="inlineStr">
        <is>
          <t>Hasil penjualan produk dalam negeri</t>
        </is>
      </c>
    </row>
    <row r="45" ht="20" customHeight="1">
      <c r="A45" s="26" t="inlineStr">
        <is>
          <t>41200</t>
        </is>
      </c>
      <c r="B45" s="32" t="inlineStr">
        <is>
          <t>Penjualan Barang Jadi - Ekspor (Export FG Sales)</t>
        </is>
      </c>
      <c r="C45" s="26" t="n">
        <v>3</v>
      </c>
      <c r="D45" s="26" t="inlineStr">
        <is>
          <t>Pendapatan</t>
        </is>
      </c>
      <c r="E45" s="26" t="inlineStr">
        <is>
          <t>Income</t>
        </is>
      </c>
      <c r="F45" s="26" t="inlineStr">
        <is>
          <t>Tidak</t>
        </is>
      </c>
      <c r="G45" s="26" t="inlineStr">
        <is>
          <t>Kredit</t>
        </is>
      </c>
      <c r="H45" s="28" t="inlineStr">
        <is>
          <t>Hasil penjualan produk luar negeri</t>
        </is>
      </c>
    </row>
    <row r="46" ht="20" customHeight="1">
      <c r="A46" s="29" t="inlineStr">
        <is>
          <t>42000</t>
        </is>
      </c>
      <c r="B46" s="34" t="inlineStr">
        <is>
          <t>Retur &amp; Potongan Penjualan (Sales Returns &amp; Allowances)</t>
        </is>
      </c>
      <c r="C46" s="29" t="n">
        <v>2</v>
      </c>
      <c r="D46" s="29" t="inlineStr">
        <is>
          <t>Pendapatan</t>
        </is>
      </c>
      <c r="E46" s="29" t="inlineStr">
        <is>
          <t>Income</t>
        </is>
      </c>
      <c r="F46" s="29" t="inlineStr">
        <is>
          <t>Tidak</t>
        </is>
      </c>
      <c r="G46" s="29" t="inlineStr">
        <is>
          <t>Debet</t>
        </is>
      </c>
      <c r="H46" s="31" t="inlineStr">
        <is>
          <t>Pengurang pendapatan akibat retur/diskon</t>
        </is>
      </c>
    </row>
    <row r="47" ht="20" customHeight="1">
      <c r="A47" s="26" t="inlineStr">
        <is>
          <t>43000</t>
        </is>
      </c>
      <c r="B47" s="33" t="inlineStr">
        <is>
          <t>Penjualan Hasil Sampingan / Scrap (Scrap &amp; By-Product Sales)</t>
        </is>
      </c>
      <c r="C47" s="26" t="n">
        <v>2</v>
      </c>
      <c r="D47" s="26" t="inlineStr">
        <is>
          <t>Pendapatan</t>
        </is>
      </c>
      <c r="E47" s="26" t="inlineStr">
        <is>
          <t>Income</t>
        </is>
      </c>
      <c r="F47" s="26" t="inlineStr">
        <is>
          <t>Tidak</t>
        </is>
      </c>
      <c r="G47" s="26" t="inlineStr">
        <is>
          <t>Kredit</t>
        </is>
      </c>
      <c r="H47" s="28" t="inlineStr">
        <is>
          <t>Pendapatan dari sisa bahan baku / produk sampingan</t>
        </is>
      </c>
    </row>
    <row r="48" ht="20" customHeight="1">
      <c r="A48" s="19" t="inlineStr">
        <is>
          <t>50000</t>
        </is>
      </c>
      <c r="B48" s="20" t="inlineStr">
        <is>
          <t>HARGA POKOK PENJUALAN &amp; BIAYA PRODUKSI (COGS &amp; DIRECT COSTS)</t>
        </is>
      </c>
      <c r="C48" s="19" t="n">
        <v>1</v>
      </c>
      <c r="D48" s="19" t="inlineStr">
        <is>
          <t>HPP</t>
        </is>
      </c>
      <c r="E48" s="19" t="inlineStr">
        <is>
          <t>Cost of Goods Sold</t>
        </is>
      </c>
      <c r="F48" s="19" t="inlineStr">
        <is>
          <t>Ya</t>
        </is>
      </c>
      <c r="G48" s="19" t="inlineStr">
        <is>
          <t>Debet</t>
        </is>
      </c>
      <c r="H48" s="21" t="inlineStr">
        <is>
          <t>Kelompok Utama Biaya Manufaktur &amp; HPP</t>
        </is>
      </c>
    </row>
    <row r="49" ht="20" customHeight="1">
      <c r="A49" s="22" t="inlineStr">
        <is>
          <t>51000</t>
        </is>
      </c>
      <c r="B49" s="23" t="inlineStr">
        <is>
          <t>Biaya Bahan Baku Langsung / BBBL (Direct Material Costs)</t>
        </is>
      </c>
      <c r="C49" s="22" t="n">
        <v>2</v>
      </c>
      <c r="D49" s="22" t="inlineStr">
        <is>
          <t>HPP</t>
        </is>
      </c>
      <c r="E49" s="22" t="inlineStr">
        <is>
          <t>Cost of Goods Sold</t>
        </is>
      </c>
      <c r="F49" s="22" t="inlineStr">
        <is>
          <t>Ya</t>
        </is>
      </c>
      <c r="G49" s="22" t="inlineStr">
        <is>
          <t>Debet</t>
        </is>
      </c>
      <c r="H49" s="24" t="inlineStr">
        <is>
          <t>Komponen Biaya Utama 1: Material</t>
        </is>
      </c>
    </row>
    <row r="50" ht="20" customHeight="1">
      <c r="A50" s="29" t="inlineStr">
        <is>
          <t>51100</t>
        </is>
      </c>
      <c r="B50" s="25" t="inlineStr">
        <is>
          <t>Pemakaian Bahan Baku Utama (Raw Material Consumption)</t>
        </is>
      </c>
      <c r="C50" s="29" t="n">
        <v>3</v>
      </c>
      <c r="D50" s="29" t="inlineStr">
        <is>
          <t>HPP</t>
        </is>
      </c>
      <c r="E50" s="29" t="inlineStr">
        <is>
          <t>Cost of Goods Sold</t>
        </is>
      </c>
      <c r="F50" s="29" t="inlineStr">
        <is>
          <t>Tidak</t>
        </is>
      </c>
      <c r="G50" s="29" t="inlineStr">
        <is>
          <t>Debet</t>
        </is>
      </c>
      <c r="H50" s="31" t="inlineStr">
        <is>
          <t>Nilai bahan mentah yang terpakai dalam Work Order</t>
        </is>
      </c>
    </row>
    <row r="51" ht="20" customHeight="1">
      <c r="A51" s="26" t="inlineStr">
        <is>
          <t>51200</t>
        </is>
      </c>
      <c r="B51" s="32" t="inlineStr">
        <is>
          <t>Biaya Angkut Pembelian Bahan (Freight Inward)</t>
        </is>
      </c>
      <c r="C51" s="26" t="n">
        <v>3</v>
      </c>
      <c r="D51" s="26" t="inlineStr">
        <is>
          <t>HPP</t>
        </is>
      </c>
      <c r="E51" s="26" t="inlineStr">
        <is>
          <t>Cost of Goods Sold</t>
        </is>
      </c>
      <c r="F51" s="26" t="inlineStr">
        <is>
          <t>Tidak</t>
        </is>
      </c>
      <c r="G51" s="26" t="inlineStr">
        <is>
          <t>Debet</t>
        </is>
      </c>
      <c r="H51" s="28" t="inlineStr">
        <is>
          <t>Biaya pengiriman bahan baku dari supplier</t>
        </is>
      </c>
    </row>
    <row r="52" ht="20" customHeight="1">
      <c r="A52" s="22" t="inlineStr">
        <is>
          <t>52000</t>
        </is>
      </c>
      <c r="B52" s="23" t="inlineStr">
        <is>
          <t>Biaya Tenaga Kerja Langsung / BTKL (Direct Labor Costs)</t>
        </is>
      </c>
      <c r="C52" s="22" t="n">
        <v>2</v>
      </c>
      <c r="D52" s="22" t="inlineStr">
        <is>
          <t>HPP</t>
        </is>
      </c>
      <c r="E52" s="22" t="inlineStr">
        <is>
          <t>Cost of Goods Sold</t>
        </is>
      </c>
      <c r="F52" s="22" t="inlineStr">
        <is>
          <t>Ya</t>
        </is>
      </c>
      <c r="G52" s="22" t="inlineStr">
        <is>
          <t>Debet</t>
        </is>
      </c>
      <c r="H52" s="24" t="inlineStr">
        <is>
          <t>Komponen Biaya Utama 2: Tenaga Kerja Direct</t>
        </is>
      </c>
    </row>
    <row r="53" ht="20" customHeight="1">
      <c r="A53" s="26" t="inlineStr">
        <is>
          <t>52100</t>
        </is>
      </c>
      <c r="B53" s="32" t="inlineStr">
        <is>
          <t>Upah &amp; Gaji Buruh Produksi (Direct Production Wages)</t>
        </is>
      </c>
      <c r="C53" s="26" t="n">
        <v>3</v>
      </c>
      <c r="D53" s="26" t="inlineStr">
        <is>
          <t>HPP</t>
        </is>
      </c>
      <c r="E53" s="26" t="inlineStr">
        <is>
          <t>Cost of Goods Sold</t>
        </is>
      </c>
      <c r="F53" s="26" t="inlineStr">
        <is>
          <t>Tidak</t>
        </is>
      </c>
      <c r="G53" s="26" t="inlineStr">
        <is>
          <t>Debet</t>
        </is>
      </c>
      <c r="H53" s="28" t="inlineStr">
        <is>
          <t>Gaji/upah operator mesin &amp; teknisi perakitan</t>
        </is>
      </c>
    </row>
    <row r="54" ht="20" customHeight="1">
      <c r="A54" s="29" t="inlineStr">
        <is>
          <t>52200</t>
        </is>
      </c>
      <c r="B54" s="25" t="inlineStr">
        <is>
          <t>Lembur Tenaga Kerja Langsung (Direct Labor Overtime)</t>
        </is>
      </c>
      <c r="C54" s="29" t="n">
        <v>3</v>
      </c>
      <c r="D54" s="29" t="inlineStr">
        <is>
          <t>HPP</t>
        </is>
      </c>
      <c r="E54" s="29" t="inlineStr">
        <is>
          <t>Cost of Goods Sold</t>
        </is>
      </c>
      <c r="F54" s="29" t="inlineStr">
        <is>
          <t>Tidak</t>
        </is>
      </c>
      <c r="G54" s="29" t="inlineStr">
        <is>
          <t>Debet</t>
        </is>
      </c>
      <c r="H54" s="31" t="inlineStr">
        <is>
          <t>Uang lembur pekerja perakitan langsung</t>
        </is>
      </c>
    </row>
    <row r="55" ht="20" customHeight="1">
      <c r="A55" s="22" t="inlineStr">
        <is>
          <t>53000</t>
        </is>
      </c>
      <c r="B55" s="23" t="inlineStr">
        <is>
          <t>Biaya Overhead Pabrik / BOP (Manufacturing Overhead)</t>
        </is>
      </c>
      <c r="C55" s="22" t="n">
        <v>2</v>
      </c>
      <c r="D55" s="22" t="inlineStr">
        <is>
          <t>HPP</t>
        </is>
      </c>
      <c r="E55" s="22" t="inlineStr">
        <is>
          <t>Cost of Goods Sold</t>
        </is>
      </c>
      <c r="F55" s="22" t="inlineStr">
        <is>
          <t>Ya</t>
        </is>
      </c>
      <c r="G55" s="22" t="inlineStr">
        <is>
          <t>Debet</t>
        </is>
      </c>
      <c r="H55" s="24" t="inlineStr">
        <is>
          <t>Komponen Biaya Utama 3: Overhead Pabrik (BOP)</t>
        </is>
      </c>
    </row>
    <row r="56" ht="20" customHeight="1">
      <c r="A56" s="29" t="inlineStr">
        <is>
          <t>53100</t>
        </is>
      </c>
      <c r="B56" s="25" t="inlineStr">
        <is>
          <t>Pemakaian Bahan Penolong (Auxiliary Material Usage)</t>
        </is>
      </c>
      <c r="C56" s="29" t="n">
        <v>3</v>
      </c>
      <c r="D56" s="29" t="inlineStr">
        <is>
          <t>HPP</t>
        </is>
      </c>
      <c r="E56" s="29" t="inlineStr">
        <is>
          <t>Cost of Goods Sold</t>
        </is>
      </c>
      <c r="F56" s="29" t="inlineStr">
        <is>
          <t>Tidak</t>
        </is>
      </c>
      <c r="G56" s="29" t="inlineStr">
        <is>
          <t>Debet</t>
        </is>
      </c>
      <c r="H56" s="31" t="inlineStr">
        <is>
          <t>Nilai pelumas, oli, pelarut, &amp; pengemas terpakai</t>
        </is>
      </c>
    </row>
    <row r="57" ht="20" customHeight="1">
      <c r="A57" s="26" t="inlineStr">
        <is>
          <t>53200</t>
        </is>
      </c>
      <c r="B57" s="32" t="inlineStr">
        <is>
          <t>Gaji Supervisi &amp; Manajemen Pabrik (Factory Supervision)</t>
        </is>
      </c>
      <c r="C57" s="26" t="n">
        <v>3</v>
      </c>
      <c r="D57" s="26" t="inlineStr">
        <is>
          <t>HPP</t>
        </is>
      </c>
      <c r="E57" s="26" t="inlineStr">
        <is>
          <t>Cost of Goods Sold</t>
        </is>
      </c>
      <c r="F57" s="26" t="inlineStr">
        <is>
          <t>Tidak</t>
        </is>
      </c>
      <c r="G57" s="26" t="inlineStr">
        <is>
          <t>Debet</t>
        </is>
      </c>
      <c r="H57" s="28" t="inlineStr">
        <is>
          <t>Gaji kepala pabrik, supervisor QC, &amp; mandor</t>
        </is>
      </c>
    </row>
    <row r="58" ht="20" customHeight="1">
      <c r="A58" s="29" t="inlineStr">
        <is>
          <t>53300</t>
        </is>
      </c>
      <c r="B58" s="25" t="inlineStr">
        <is>
          <t>Listrik, Air &amp; Bahan Bakar Pabrik (Factory Utilities)</t>
        </is>
      </c>
      <c r="C58" s="29" t="n">
        <v>3</v>
      </c>
      <c r="D58" s="29" t="inlineStr">
        <is>
          <t>HPP</t>
        </is>
      </c>
      <c r="E58" s="29" t="inlineStr">
        <is>
          <t>Cost of Goods Sold</t>
        </is>
      </c>
      <c r="F58" s="29" t="inlineStr">
        <is>
          <t>Tidak</t>
        </is>
      </c>
      <c r="G58" s="29" t="inlineStr">
        <is>
          <t>Debet</t>
        </is>
      </c>
      <c r="H58" s="31" t="inlineStr">
        <is>
          <t>Tagihan daya listrik industri, solar boiler, &amp; air</t>
        </is>
      </c>
    </row>
    <row r="59" ht="20" customHeight="1">
      <c r="A59" s="26" t="inlineStr">
        <is>
          <t>53400</t>
        </is>
      </c>
      <c r="B59" s="32" t="inlineStr">
        <is>
          <t>Penyusutan Mesin &amp; Gedung Pabrik (Factory Depreciation)</t>
        </is>
      </c>
      <c r="C59" s="26" t="n">
        <v>3</v>
      </c>
      <c r="D59" s="26" t="inlineStr">
        <is>
          <t>HPP</t>
        </is>
      </c>
      <c r="E59" s="26" t="inlineStr">
        <is>
          <t>Cost of Goods Sold</t>
        </is>
      </c>
      <c r="F59" s="26" t="inlineStr">
        <is>
          <t>Tidak</t>
        </is>
      </c>
      <c r="G59" s="26" t="inlineStr">
        <is>
          <t>Debet</t>
        </is>
      </c>
      <c r="H59" s="28" t="inlineStr">
        <is>
          <t>Depresiasi aset tetap lini produksi</t>
        </is>
      </c>
    </row>
    <row r="60" ht="20" customHeight="1">
      <c r="A60" s="29" t="inlineStr">
        <is>
          <t>53500</t>
        </is>
      </c>
      <c r="B60" s="25" t="inlineStr">
        <is>
          <t>Pemeliharaan &amp; Perbaikan Mesin (Machinery Maintenance)</t>
        </is>
      </c>
      <c r="C60" s="29" t="n">
        <v>3</v>
      </c>
      <c r="D60" s="29" t="inlineStr">
        <is>
          <t>HPP</t>
        </is>
      </c>
      <c r="E60" s="29" t="inlineStr">
        <is>
          <t>Cost of Goods Sold</t>
        </is>
      </c>
      <c r="F60" s="29" t="inlineStr">
        <is>
          <t>Tidak</t>
        </is>
      </c>
      <c r="G60" s="29" t="inlineStr">
        <is>
          <t>Debet</t>
        </is>
      </c>
      <c r="H60" s="31" t="inlineStr">
        <is>
          <t>Perbaikan rutin &amp; suku cadang mesin pabrik</t>
        </is>
      </c>
    </row>
    <row r="61" ht="20" customHeight="1">
      <c r="A61" s="26" t="inlineStr">
        <is>
          <t>53600</t>
        </is>
      </c>
      <c r="B61" s="32" t="inlineStr">
        <is>
          <t>Asuransi &amp; Keselamatan Kerja Pabrik (Factory Insurance &amp; HSE)</t>
        </is>
      </c>
      <c r="C61" s="26" t="n">
        <v>3</v>
      </c>
      <c r="D61" s="26" t="inlineStr">
        <is>
          <t>HPP</t>
        </is>
      </c>
      <c r="E61" s="26" t="inlineStr">
        <is>
          <t>Cost of Goods Sold</t>
        </is>
      </c>
      <c r="F61" s="26" t="inlineStr">
        <is>
          <t>Tidak</t>
        </is>
      </c>
      <c r="G61" s="26" t="inlineStr">
        <is>
          <t>Debet</t>
        </is>
      </c>
      <c r="H61" s="28" t="inlineStr">
        <is>
          <t>Asuransi kebakaran pabrik &amp; perlengkapan K3</t>
        </is>
      </c>
    </row>
    <row r="62" ht="20" customHeight="1">
      <c r="A62" s="22" t="inlineStr">
        <is>
          <t>54000</t>
        </is>
      </c>
      <c r="B62" s="23" t="inlineStr">
        <is>
          <t>Variansi &amp; Penyesuaian Produksi (Production Variances)</t>
        </is>
      </c>
      <c r="C62" s="22" t="n">
        <v>2</v>
      </c>
      <c r="D62" s="22" t="inlineStr">
        <is>
          <t>HPP</t>
        </is>
      </c>
      <c r="E62" s="22" t="inlineStr">
        <is>
          <t>Cost of Goods Sold</t>
        </is>
      </c>
      <c r="F62" s="22" t="inlineStr">
        <is>
          <t>Ya</t>
        </is>
      </c>
      <c r="G62" s="22" t="inlineStr">
        <is>
          <t>Debet</t>
        </is>
      </c>
      <c r="H62" s="24" t="inlineStr">
        <is>
          <t>Grup Penyesuaian Biaya Standar vs Aktual</t>
        </is>
      </c>
    </row>
    <row r="63" ht="20" customHeight="1">
      <c r="A63" s="26" t="inlineStr">
        <is>
          <t>54100</t>
        </is>
      </c>
      <c r="B63" s="32" t="inlineStr">
        <is>
          <t>Variansi Biaya Bahan Baku (Material Price/Usage Variance)</t>
        </is>
      </c>
      <c r="C63" s="26" t="n">
        <v>3</v>
      </c>
      <c r="D63" s="26" t="inlineStr">
        <is>
          <t>HPP</t>
        </is>
      </c>
      <c r="E63" s="26" t="inlineStr">
        <is>
          <t>Cost of Goods Sold</t>
        </is>
      </c>
      <c r="F63" s="26" t="inlineStr">
        <is>
          <t>Tidak</t>
        </is>
      </c>
      <c r="G63" s="26" t="inlineStr">
        <is>
          <t>Debet</t>
        </is>
      </c>
      <c r="H63" s="28" t="inlineStr">
        <is>
          <t>Selisih efisiensi/harga standar bahan baku</t>
        </is>
      </c>
    </row>
    <row r="64" ht="20" customHeight="1">
      <c r="A64" s="29" t="inlineStr">
        <is>
          <t>54200</t>
        </is>
      </c>
      <c r="B64" s="25" t="inlineStr">
        <is>
          <t>Variansi Efisiensi Overhead (Overhead Absorption Variance)</t>
        </is>
      </c>
      <c r="C64" s="29" t="n">
        <v>3</v>
      </c>
      <c r="D64" s="29" t="inlineStr">
        <is>
          <t>HPP</t>
        </is>
      </c>
      <c r="E64" s="29" t="inlineStr">
        <is>
          <t>Cost of Goods Sold</t>
        </is>
      </c>
      <c r="F64" s="29" t="inlineStr">
        <is>
          <t>Tidak</t>
        </is>
      </c>
      <c r="G64" s="29" t="inlineStr">
        <is>
          <t>Debet</t>
        </is>
      </c>
      <c r="H64" s="31" t="inlineStr">
        <is>
          <t>Selisih pembebanan BOP diserap vs aktual</t>
        </is>
      </c>
    </row>
    <row r="65" ht="20" customHeight="1">
      <c r="A65" s="19" t="inlineStr">
        <is>
          <t>60000</t>
        </is>
      </c>
      <c r="B65" s="20" t="inlineStr">
        <is>
          <t>BEBAN OPERASIONAL (OPERATING EXPENSES)</t>
        </is>
      </c>
      <c r="C65" s="19" t="n">
        <v>1</v>
      </c>
      <c r="D65" s="19" t="inlineStr">
        <is>
          <t>Beban Operasional</t>
        </is>
      </c>
      <c r="E65" s="19" t="inlineStr">
        <is>
          <t>Expense</t>
        </is>
      </c>
      <c r="F65" s="19" t="inlineStr">
        <is>
          <t>Ya</t>
        </is>
      </c>
      <c r="G65" s="19" t="inlineStr">
        <is>
          <t>Debet</t>
        </is>
      </c>
      <c r="H65" s="21" t="inlineStr">
        <is>
          <t>Kelompok Utama Beban Non-Pabrikasi (OpEx)</t>
        </is>
      </c>
    </row>
    <row r="66" ht="20" customHeight="1">
      <c r="A66" s="22" t="inlineStr">
        <is>
          <t>61000</t>
        </is>
      </c>
      <c r="B66" s="23" t="inlineStr">
        <is>
          <t>Beban Penjualan &amp; Pemasaran (Selling &amp; Marketing)</t>
        </is>
      </c>
      <c r="C66" s="22" t="n">
        <v>2</v>
      </c>
      <c r="D66" s="22" t="inlineStr">
        <is>
          <t>Beban Operasional</t>
        </is>
      </c>
      <c r="E66" s="22" t="inlineStr">
        <is>
          <t>Expense</t>
        </is>
      </c>
      <c r="F66" s="22" t="inlineStr">
        <is>
          <t>Ya</t>
        </is>
      </c>
      <c r="G66" s="22" t="inlineStr">
        <is>
          <t>Debet</t>
        </is>
      </c>
      <c r="H66" s="24" t="inlineStr">
        <is>
          <t>Grup Beban Komersial / Penjualan</t>
        </is>
      </c>
    </row>
    <row r="67" ht="20" customHeight="1">
      <c r="A67" s="26" t="inlineStr">
        <is>
          <t>61100</t>
        </is>
      </c>
      <c r="B67" s="32" t="inlineStr">
        <is>
          <t>Gaji &amp; Komisi Tim Sales (Sales Salaries &amp; Commissions)</t>
        </is>
      </c>
      <c r="C67" s="26" t="n">
        <v>3</v>
      </c>
      <c r="D67" s="26" t="inlineStr">
        <is>
          <t>Beban Operasional</t>
        </is>
      </c>
      <c r="E67" s="26" t="inlineStr">
        <is>
          <t>Expense</t>
        </is>
      </c>
      <c r="F67" s="26" t="inlineStr">
        <is>
          <t>Tidak</t>
        </is>
      </c>
      <c r="G67" s="26" t="inlineStr">
        <is>
          <t>Debet</t>
        </is>
      </c>
      <c r="H67" s="28" t="inlineStr">
        <is>
          <t>Gaji &amp; bonus pendorong penjualan</t>
        </is>
      </c>
    </row>
    <row r="68" ht="20" customHeight="1">
      <c r="A68" s="29" t="inlineStr">
        <is>
          <t>61200</t>
        </is>
      </c>
      <c r="B68" s="25" t="inlineStr">
        <is>
          <t>Biaya Iklan, Promosi &amp; Pameran (Advertising &amp; Marketing)</t>
        </is>
      </c>
      <c r="C68" s="29" t="n">
        <v>3</v>
      </c>
      <c r="D68" s="29" t="inlineStr">
        <is>
          <t>Beban Operasional</t>
        </is>
      </c>
      <c r="E68" s="29" t="inlineStr">
        <is>
          <t>Expense</t>
        </is>
      </c>
      <c r="F68" s="29" t="inlineStr">
        <is>
          <t>Tidak</t>
        </is>
      </c>
      <c r="G68" s="29" t="inlineStr">
        <is>
          <t>Debet</t>
        </is>
      </c>
      <c r="H68" s="31" t="inlineStr">
        <is>
          <t>Biaya pemasaran produk ke pasar</t>
        </is>
      </c>
    </row>
    <row r="69" ht="20" customHeight="1">
      <c r="A69" s="26" t="inlineStr">
        <is>
          <t>61300</t>
        </is>
      </c>
      <c r="B69" s="32" t="inlineStr">
        <is>
          <t>Biaya Pengiriman ke Pelanggan (Freight Outward)</t>
        </is>
      </c>
      <c r="C69" s="26" t="n">
        <v>3</v>
      </c>
      <c r="D69" s="26" t="inlineStr">
        <is>
          <t>Beban Operasional</t>
        </is>
      </c>
      <c r="E69" s="26" t="inlineStr">
        <is>
          <t>Expense</t>
        </is>
      </c>
      <c r="F69" s="26" t="inlineStr">
        <is>
          <t>Tidak</t>
        </is>
      </c>
      <c r="G69" s="26" t="inlineStr">
        <is>
          <t>Debet</t>
        </is>
      </c>
      <c r="H69" s="28" t="inlineStr">
        <is>
          <t>Ongkos kirim barang jadi ke alamat pembeli</t>
        </is>
      </c>
    </row>
    <row r="70" ht="20" customHeight="1">
      <c r="A70" s="22" t="inlineStr">
        <is>
          <t>62000</t>
        </is>
      </c>
      <c r="B70" s="23" t="inlineStr">
        <is>
          <t>Beban Umum &amp; Administrasi (General &amp; Administrative)</t>
        </is>
      </c>
      <c r="C70" s="22" t="n">
        <v>2</v>
      </c>
      <c r="D70" s="22" t="inlineStr">
        <is>
          <t>Beban Operasional</t>
        </is>
      </c>
      <c r="E70" s="22" t="inlineStr">
        <is>
          <t>Expense</t>
        </is>
      </c>
      <c r="F70" s="22" t="inlineStr">
        <is>
          <t>Ya</t>
        </is>
      </c>
      <c r="G70" s="22" t="inlineStr">
        <is>
          <t>Debet</t>
        </is>
      </c>
      <c r="H70" s="24" t="inlineStr">
        <is>
          <t>Grup Beban Kantor Pusat &amp; Manajemen</t>
        </is>
      </c>
    </row>
    <row r="71" ht="20" customHeight="1">
      <c r="A71" s="26" t="inlineStr">
        <is>
          <t>62100</t>
        </is>
      </c>
      <c r="B71" s="32" t="inlineStr">
        <is>
          <t>Gaji Direksi &amp; Staf Kantor (Office Staff Salaries)</t>
        </is>
      </c>
      <c r="C71" s="26" t="n">
        <v>3</v>
      </c>
      <c r="D71" s="26" t="inlineStr">
        <is>
          <t>Beban Operasional</t>
        </is>
      </c>
      <c r="E71" s="26" t="inlineStr">
        <is>
          <t>Expense</t>
        </is>
      </c>
      <c r="F71" s="26" t="inlineStr">
        <is>
          <t>Tidak</t>
        </is>
      </c>
      <c r="G71" s="26" t="inlineStr">
        <is>
          <t>Debet</t>
        </is>
      </c>
      <c r="H71" s="28" t="inlineStr">
        <is>
          <t>Gaji tim HR, Finance, IT, &amp; Eksekutif</t>
        </is>
      </c>
    </row>
    <row r="72" ht="20" customHeight="1">
      <c r="A72" s="29" t="inlineStr">
        <is>
          <t>62200</t>
        </is>
      </c>
      <c r="B72" s="25" t="inlineStr">
        <is>
          <t>Sewa &amp; Utilitas Kantor Pusat (Office Rent &amp; Utilities)</t>
        </is>
      </c>
      <c r="C72" s="29" t="n">
        <v>3</v>
      </c>
      <c r="D72" s="29" t="inlineStr">
        <is>
          <t>Beban Operasional</t>
        </is>
      </c>
      <c r="E72" s="29" t="inlineStr">
        <is>
          <t>Expense</t>
        </is>
      </c>
      <c r="F72" s="29" t="inlineStr">
        <is>
          <t>Tidak</t>
        </is>
      </c>
      <c r="G72" s="29" t="inlineStr">
        <is>
          <t>Debet</t>
        </is>
      </c>
      <c r="H72" s="31" t="inlineStr">
        <is>
          <t>Biaya operasional bangunan kantor administrasi</t>
        </is>
      </c>
    </row>
    <row r="73" ht="20" customHeight="1">
      <c r="A73" s="26" t="inlineStr">
        <is>
          <t>62300</t>
        </is>
      </c>
      <c r="B73" s="32" t="inlineStr">
        <is>
          <t>Beban Legal, Audit &amp; Konsultan (Legal &amp; Professional Fees)</t>
        </is>
      </c>
      <c r="C73" s="26" t="n">
        <v>3</v>
      </c>
      <c r="D73" s="26" t="inlineStr">
        <is>
          <t>Beban Operasional</t>
        </is>
      </c>
      <c r="E73" s="26" t="inlineStr">
        <is>
          <t>Expense</t>
        </is>
      </c>
      <c r="F73" s="26" t="inlineStr">
        <is>
          <t>Tidak</t>
        </is>
      </c>
      <c r="G73" s="26" t="inlineStr">
        <is>
          <t>Debet</t>
        </is>
      </c>
      <c r="H73" s="28" t="inlineStr">
        <is>
          <t>Jasa akuntan publik, konsultan pajak &amp; hukum</t>
        </is>
      </c>
    </row>
    <row r="74" ht="20" customHeight="1">
      <c r="A74" s="29" t="inlineStr">
        <is>
          <t>63000</t>
        </is>
      </c>
      <c r="B74" s="34" t="inlineStr">
        <is>
          <t>Beban Riset &amp; Pengembangan (Research &amp; Development)</t>
        </is>
      </c>
      <c r="C74" s="29" t="n">
        <v>2</v>
      </c>
      <c r="D74" s="29" t="inlineStr">
        <is>
          <t>Beban Operasional</t>
        </is>
      </c>
      <c r="E74" s="29" t="inlineStr">
        <is>
          <t>Expense</t>
        </is>
      </c>
      <c r="F74" s="29" t="inlineStr">
        <is>
          <t>Tidak</t>
        </is>
      </c>
      <c r="G74" s="29" t="inlineStr">
        <is>
          <t>Debet</t>
        </is>
      </c>
      <c r="H74" s="31" t="inlineStr">
        <is>
          <t>Biaya formulasi &amp; pengembangan produk baru (R&amp;D)</t>
        </is>
      </c>
    </row>
    <row r="75" ht="20" customHeight="1">
      <c r="A75" s="19" t="inlineStr">
        <is>
          <t>70000</t>
        </is>
      </c>
      <c r="B75" s="20" t="inlineStr">
        <is>
          <t>PENDAPATAN &amp; BEBAN LAIN-LAIN (OTHER INCOME &amp; EXPENSES)</t>
        </is>
      </c>
      <c r="C75" s="19" t="n">
        <v>1</v>
      </c>
      <c r="D75" s="19" t="inlineStr">
        <is>
          <t>Lain-lain</t>
        </is>
      </c>
      <c r="E75" s="19" t="inlineStr">
        <is>
          <t>Expense</t>
        </is>
      </c>
      <c r="F75" s="19" t="inlineStr">
        <is>
          <t>Ya</t>
        </is>
      </c>
      <c r="G75" s="19" t="inlineStr">
        <is>
          <t>Kredit</t>
        </is>
      </c>
      <c r="H75" s="21" t="inlineStr">
        <is>
          <t>Kelompok Non-Operasional Utama</t>
        </is>
      </c>
    </row>
    <row r="76" ht="20" customHeight="1">
      <c r="A76" s="29" t="inlineStr">
        <is>
          <t>71000</t>
        </is>
      </c>
      <c r="B76" s="34" t="inlineStr">
        <is>
          <t>Pendapatan Bunga &amp; Laba Selisih Kurs (Interest &amp; Forex Gain)</t>
        </is>
      </c>
      <c r="C76" s="29" t="n">
        <v>2</v>
      </c>
      <c r="D76" s="29" t="inlineStr">
        <is>
          <t>Lain-lain</t>
        </is>
      </c>
      <c r="E76" s="29" t="inlineStr">
        <is>
          <t>Income</t>
        </is>
      </c>
      <c r="F76" s="29" t="inlineStr">
        <is>
          <t>Tidak</t>
        </is>
      </c>
      <c r="G76" s="29" t="inlineStr">
        <is>
          <t>Kredit</t>
        </is>
      </c>
      <c r="H76" s="31" t="inlineStr">
        <is>
          <t>Pendapatan dari jasa giro, deposito, &amp; selisih kurs valas</t>
        </is>
      </c>
    </row>
    <row r="77" ht="20" customHeight="1">
      <c r="A77" s="26" t="inlineStr">
        <is>
          <t>72000</t>
        </is>
      </c>
      <c r="B77" s="33" t="inlineStr">
        <is>
          <t>Beban Bunga Pinjaman &amp; Administrasi Bank (Interest Expense)</t>
        </is>
      </c>
      <c r="C77" s="26" t="n">
        <v>2</v>
      </c>
      <c r="D77" s="26" t="inlineStr">
        <is>
          <t>Lain-lain</t>
        </is>
      </c>
      <c r="E77" s="26" t="inlineStr">
        <is>
          <t>Expense</t>
        </is>
      </c>
      <c r="F77" s="26" t="inlineStr">
        <is>
          <t>Tidak</t>
        </is>
      </c>
      <c r="G77" s="26" t="inlineStr">
        <is>
          <t>Debet</t>
        </is>
      </c>
      <c r="H77" s="28" t="inlineStr">
        <is>
          <t>Beban bunga kredit bank &amp; biaya adm perbankan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5" customWidth="1" min="4" max="4"/>
    <col width="35" customWidth="1" min="5" max="5"/>
    <col width="32" customWidth="1" min="6" max="6"/>
    <col width="28" customWidth="1" min="7" max="7"/>
  </cols>
  <sheetData>
    <row r="1" ht="26" customHeight="1">
      <c r="A1" s="1" t="inlineStr">
        <is>
          <t>PEMETAAN ALUR JURNAL AKUNTANSI MANUFAKTUR &amp; WORK ORDER</t>
        </is>
      </c>
    </row>
    <row r="2" ht="18" customHeight="1">
      <c r="A2" s="2" t="inlineStr">
        <is>
          <t>Panduan Transaksi Siklus Pemrosesan Bahan Baku hingga Pengakuan HPP Penjualan di ERPNext</t>
        </is>
      </c>
    </row>
    <row r="3"/>
    <row r="4"/>
    <row r="5" ht="26" customHeight="1">
      <c r="A5" s="9" t="inlineStr">
        <is>
          <t>Tahap Alur Produksi</t>
        </is>
      </c>
      <c r="B5" s="9" t="inlineStr">
        <is>
          <t>Nama Transaksi ERPNext</t>
        </is>
      </c>
      <c r="C5" s="9" t="inlineStr">
        <is>
          <t>Skenario Operasional Pabrik</t>
        </is>
      </c>
      <c r="D5" s="9" t="inlineStr">
        <is>
          <t>Akun Debet (+)</t>
        </is>
      </c>
      <c r="E5" s="9" t="inlineStr">
        <is>
          <t>Akun Kredit (-)</t>
        </is>
      </c>
      <c r="F5" s="9" t="inlineStr">
        <is>
          <t>Pengaruh pada Laporan Keuangan</t>
        </is>
      </c>
      <c r="G5" s="9" t="inlineStr">
        <is>
          <t>Dokumen Terkait</t>
        </is>
      </c>
    </row>
    <row r="6" ht="36" customHeight="1">
      <c r="A6" s="35" t="inlineStr">
        <is>
          <t>1. Pembelian Bahan Baku</t>
        </is>
      </c>
      <c r="B6" s="36" t="inlineStr">
        <is>
          <t>Purchase Receipt / Invoice</t>
        </is>
      </c>
      <c r="C6" s="37" t="inlineStr">
        <is>
          <t>Penerimaan bahan baku mentah dari vendor ke gudang penyimpanan.</t>
        </is>
      </c>
      <c r="D6" s="38" t="inlineStr">
        <is>
          <t>11310 - Persediaan Bahan Baku</t>
        </is>
      </c>
      <c r="E6" s="39" t="inlineStr">
        <is>
          <t>21110 - Utang Dagang Pemasok</t>
        </is>
      </c>
      <c r="F6" s="37" t="inlineStr">
        <is>
          <t>Aset Persediaan (+) &amp; Kewajiban Utang (+)</t>
        </is>
      </c>
      <c r="G6" s="40" t="inlineStr">
        <is>
          <t>Purchase Order (PO) &amp; GRN</t>
        </is>
      </c>
    </row>
    <row r="7" ht="36" customHeight="1">
      <c r="A7" s="35" t="inlineStr">
        <is>
          <t>2. Pengeluaran Bahan ke Produksi</t>
        </is>
      </c>
      <c r="B7" s="36" t="inlineStr">
        <is>
          <t>Stock Entry (Issue to WIP)</t>
        </is>
      </c>
      <c r="C7" s="37" t="inlineStr">
        <is>
          <t>Transfer bahan baku mentah dari gudang utama ke lantai pabrikasi (Work Order).</t>
        </is>
      </c>
      <c r="D7" s="38" t="inlineStr">
        <is>
          <t>11330 - Persediaan Barang Dalam Proses (WIP)</t>
        </is>
      </c>
      <c r="E7" s="39" t="inlineStr">
        <is>
          <t>11310 - Persediaan Bahan Baku</t>
        </is>
      </c>
      <c r="F7" s="37" t="inlineStr">
        <is>
          <t>Aset WIP (+) &amp; Aset Bahan Baku (-)</t>
        </is>
      </c>
      <c r="G7" s="40" t="inlineStr">
        <is>
          <t>Material Issue / Work Order</t>
        </is>
      </c>
    </row>
    <row r="8" ht="36" customHeight="1">
      <c r="A8" s="35" t="inlineStr">
        <is>
          <t>3. Alokasi BTKL &amp; Overhead</t>
        </is>
      </c>
      <c r="B8" s="36" t="inlineStr">
        <is>
          <t>Timesheet / Labor &amp; Overhead Entry</t>
        </is>
      </c>
      <c r="C8" s="37" t="inlineStr">
        <is>
          <t>Pembebanan gaji buruh produksi &amp; utilitas pabrik ke dalam alur produksi berjalan.</t>
        </is>
      </c>
      <c r="D8" s="38" t="inlineStr">
        <is>
          <t>11330 - Persediaan Barang Dalam Proses (WIP)</t>
        </is>
      </c>
      <c r="E8" s="39" t="inlineStr">
        <is>
          <t>21210 - Utang Gaji Buruh Pabrik / 21220 - Akrual Utilitas</t>
        </is>
      </c>
      <c r="F8" s="37" t="inlineStr">
        <is>
          <t>Aset WIP (+) &amp; Kewajiban Gaji/Beban (+)</t>
        </is>
      </c>
      <c r="G8" s="40" t="inlineStr">
        <is>
          <t>Job Card / Timesheet / Direct Expense</t>
        </is>
      </c>
    </row>
    <row r="9" ht="36" customHeight="1">
      <c r="A9" s="35" t="inlineStr">
        <is>
          <t>4. Penyelesaian Barang Jadi</t>
        </is>
      </c>
      <c r="B9" s="36" t="inlineStr">
        <is>
          <t>Stock Entry (Manufacture / Finish)</t>
        </is>
      </c>
      <c r="C9" s="37" t="inlineStr">
        <is>
          <t>Penyelesaian proses produksi &amp; penyerahan produk jadi dari lantai pabrik ke gudang FG.</t>
        </is>
      </c>
      <c r="D9" s="38" t="inlineStr">
        <is>
          <t>11340 - Persediaan Barang Jadi (Finished Goods)</t>
        </is>
      </c>
      <c r="E9" s="39" t="inlineStr">
        <is>
          <t>11330 - Persediaan Barang Dalam Proses (WIP)</t>
        </is>
      </c>
      <c r="F9" s="37" t="inlineStr">
        <is>
          <t>Aset Barang Jadi (+) &amp; Aset WIP (-)</t>
        </is>
      </c>
      <c r="G9" s="40" t="inlineStr">
        <is>
          <t>Work Order Completion / Production Entry</t>
        </is>
      </c>
    </row>
    <row r="10" ht="36" customHeight="1">
      <c r="A10" s="35" t="inlineStr">
        <is>
          <t>5. Penjualan &amp; Pengiriman Produk</t>
        </is>
      </c>
      <c r="B10" s="36" t="inlineStr">
        <is>
          <t>Sales Invoice &amp; Delivery Note</t>
        </is>
      </c>
      <c r="C10" s="37" t="inlineStr">
        <is>
          <t>Penjualan produk jadi kepada pelanggan distributor dan pengakuan HPP.</t>
        </is>
      </c>
      <c r="D10" s="38" t="inlineStr">
        <is>
          <t>11210 - Piutang Dagang / 11120 - Bank
51100 - Pemakaian BBBL (HPP)</t>
        </is>
      </c>
      <c r="E10" s="39" t="inlineStr">
        <is>
          <t>41100 - Penjualan Barang Jadi
11340 - Persediaan Barang Jadi</t>
        </is>
      </c>
      <c r="F10" s="37" t="inlineStr">
        <is>
          <t>Pendapatan Penjualan (+), Aset Piutang (+), HPP (+), Persediaan FG (-)</t>
        </is>
      </c>
      <c r="G10" s="40" t="inlineStr">
        <is>
          <t>Delivery Note &amp; Sales Invoice</t>
        </is>
      </c>
    </row>
    <row r="11" ht="36" customHeight="1">
      <c r="A11" s="35" t="inlineStr">
        <is>
          <t>6. Penjualan Scrap / Sisa Bahan</t>
        </is>
      </c>
      <c r="B11" s="36" t="inlineStr">
        <is>
          <t>Stock Entry / Miscellaneous Invoice</t>
        </is>
      </c>
      <c r="C11" s="37" t="inlineStr">
        <is>
          <t>Penjualan sisa potongan material/limbah pabrikasi yang memiliki nilai jual.</t>
        </is>
      </c>
      <c r="D11" s="38" t="inlineStr">
        <is>
          <t>11110 - Kas Kecil / 11210 - Piutang</t>
        </is>
      </c>
      <c r="E11" s="39" t="inlineStr">
        <is>
          <t>43000 - Penjualan Scrap / Hasil Sampingan</t>
        </is>
      </c>
      <c r="F11" s="37" t="inlineStr">
        <is>
          <t>Aset Kas/Piutang (+) &amp; Pendapatan Lain (+)</t>
        </is>
      </c>
      <c r="G11" s="40" t="inlineStr">
        <is>
          <t>Sales Invoice Scrap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0" customWidth="1" min="4" max="4"/>
    <col width="14" customWidth="1" min="5" max="5"/>
    <col width="14" customWidth="1" min="6" max="6"/>
  </cols>
  <sheetData>
    <row r="1" ht="26" customHeight="1">
      <c r="A1" s="1" t="inlineStr">
        <is>
          <t>RINGKASAN STATISTIK &amp; DISTRIBUSI AKUN MANUFAKTUR</t>
        </is>
      </c>
    </row>
    <row r="2" ht="18" customHeight="1">
      <c r="A2" s="2" t="inlineStr">
        <is>
          <t>Analisis Agregat Jumlah Akun, Proporsi Kategori, &amp; Kesiapan Modul Akuntansi ERPNext</t>
        </is>
      </c>
    </row>
    <row r="3"/>
    <row r="4"/>
    <row r="5">
      <c r="A5" s="6" t="inlineStr">
        <is>
          <t>DISTRIBUSI AKUN PER KATEGORI UTAMA</t>
        </is>
      </c>
    </row>
    <row r="6">
      <c r="A6" s="9" t="inlineStr">
        <is>
          <t>Kategori Utama (Root)</t>
        </is>
      </c>
      <c r="B6" s="9" t="inlineStr">
        <is>
          <t>Jumlah Akun Group</t>
        </is>
      </c>
      <c r="C6" s="9" t="inlineStr">
        <is>
          <t>Jumlah Akun Detail (Ledger)</t>
        </is>
      </c>
      <c r="D6" s="9" t="inlineStr">
        <is>
          <t>Total Akun</t>
        </is>
      </c>
    </row>
    <row r="7" ht="20" customHeight="1">
      <c r="A7" s="12" t="inlineStr">
        <is>
          <t>Aset</t>
        </is>
      </c>
      <c r="B7" s="13">
        <f>COUNTIFS('Chart of Accounts'!$D$6:$D$70, "Aset", 'Chart of Accounts'!$F$6:$F$70, "Ya")</f>
        <v/>
      </c>
      <c r="C7" s="13">
        <f>COUNTIFS('Chart of Accounts'!$D$6:$D$70, "Aset", 'Chart of Accounts'!$F$6:$F$70, "Tidak")</f>
        <v/>
      </c>
      <c r="D7" s="41">
        <f>SUM(B7:C7)</f>
        <v/>
      </c>
    </row>
    <row r="8" ht="20" customHeight="1">
      <c r="A8" s="12" t="inlineStr">
        <is>
          <t>Kewajiban</t>
        </is>
      </c>
      <c r="B8" s="13">
        <f>COUNTIFS('Chart of Accounts'!$D$6:$D$70, "Kewajiban", 'Chart of Accounts'!$F$6:$F$70, "Ya")</f>
        <v/>
      </c>
      <c r="C8" s="13">
        <f>COUNTIFS('Chart of Accounts'!$D$6:$D$70, "Kewajiban", 'Chart of Accounts'!$F$6:$F$70, "Tidak")</f>
        <v/>
      </c>
      <c r="D8" s="41">
        <f>SUM(B8:C8)</f>
        <v/>
      </c>
    </row>
    <row r="9" ht="20" customHeight="1">
      <c r="A9" s="12" t="inlineStr">
        <is>
          <t>Ekuitas</t>
        </is>
      </c>
      <c r="B9" s="13">
        <f>COUNTIFS('Chart of Accounts'!$D$6:$D$70, "Ekuitas", 'Chart of Accounts'!$F$6:$F$70, "Ya")</f>
        <v/>
      </c>
      <c r="C9" s="13">
        <f>COUNTIFS('Chart of Accounts'!$D$6:$D$70, "Ekuitas", 'Chart of Accounts'!$F$6:$F$70, "Tidak")</f>
        <v/>
      </c>
      <c r="D9" s="41">
        <f>SUM(B9:C9)</f>
        <v/>
      </c>
    </row>
    <row r="10" ht="20" customHeight="1">
      <c r="A10" s="12" t="inlineStr">
        <is>
          <t>Pendapatan</t>
        </is>
      </c>
      <c r="B10" s="13">
        <f>COUNTIFS('Chart of Accounts'!$D$6:$D$70, "Pendapatan", 'Chart of Accounts'!$F$6:$F$70, "Ya")</f>
        <v/>
      </c>
      <c r="C10" s="13">
        <f>COUNTIFS('Chart of Accounts'!$D$6:$D$70, "Pendapatan", 'Chart of Accounts'!$F$6:$F$70, "Tidak")</f>
        <v/>
      </c>
      <c r="D10" s="41">
        <f>SUM(B10:C10)</f>
        <v/>
      </c>
    </row>
    <row r="11" ht="20" customHeight="1">
      <c r="A11" s="12" t="inlineStr">
        <is>
          <t>Harga Pokok Penjualan (HPP)</t>
        </is>
      </c>
      <c r="B11" s="13">
        <f>COUNTIFS('Chart of Accounts'!$D$6:$D$70, "HPP", 'Chart of Accounts'!$F$6:$F$70, "Ya")</f>
        <v/>
      </c>
      <c r="C11" s="13">
        <f>COUNTIFS('Chart of Accounts'!$D$6:$D$70, "HPP", 'Chart of Accounts'!$F$6:$F$70, "Tidak")</f>
        <v/>
      </c>
      <c r="D11" s="41">
        <f>SUM(B11:C11)</f>
        <v/>
      </c>
    </row>
    <row r="12" ht="20" customHeight="1">
      <c r="A12" s="12" t="inlineStr">
        <is>
          <t>Beban Operasional</t>
        </is>
      </c>
      <c r="B12" s="13">
        <f>COUNTIFS('Chart of Accounts'!$D$6:$D$70, "Beban Operasional", 'Chart of Accounts'!$F$6:$F$70, "Ya")</f>
        <v/>
      </c>
      <c r="C12" s="13">
        <f>COUNTIFS('Chart of Accounts'!$D$6:$D$70, "Beban Operasional", 'Chart of Accounts'!$F$6:$F$70, "Tidak")</f>
        <v/>
      </c>
      <c r="D12" s="41">
        <f>SUM(B12:C12)</f>
        <v/>
      </c>
    </row>
    <row r="13" ht="20" customHeight="1">
      <c r="A13" s="12" t="inlineStr">
        <is>
          <t>Pendapatan/Beban Lain-lain</t>
        </is>
      </c>
      <c r="B13" s="13">
        <f>COUNTIFS('Chart of Accounts'!$D$6:$D$70, "Lain-lain", 'Chart of Accounts'!$F$6:$F$70, "Ya")</f>
        <v/>
      </c>
      <c r="C13" s="13">
        <f>COUNTIFS('Chart of Accounts'!$D$6:$D$70, "Lain-lain", 'Chart of Accounts'!$F$6:$F$70, "Tidak")</f>
        <v/>
      </c>
      <c r="D13" s="41">
        <f>SUM(B13:C13)</f>
        <v/>
      </c>
    </row>
    <row r="14">
      <c r="A14" s="42" t="inlineStr">
        <is>
          <t>TOTAL KESELURUHAN</t>
        </is>
      </c>
      <c r="B14" s="43">
        <f>SUM(B7:B13)</f>
        <v/>
      </c>
      <c r="C14" s="43">
        <f>SUM(C7:C13)</f>
        <v/>
      </c>
      <c r="D14" s="44">
        <f>SUM(D7:D13)</f>
        <v/>
      </c>
    </row>
    <row r="15"/>
    <row r="16"/>
    <row r="17">
      <c r="A17" s="6" t="inlineStr">
        <is>
          <t>REKAPITULASI BERDASARKAN LEVEL HIERARKI</t>
        </is>
      </c>
    </row>
    <row r="18">
      <c r="A18" s="9" t="inlineStr">
        <is>
          <t>Tingkat Hierarki</t>
        </is>
      </c>
      <c r="B18" s="9" t="inlineStr">
        <is>
          <t>Penjelasan Level</t>
        </is>
      </c>
      <c r="C18" s="9" t="inlineStr">
        <is>
          <t>Jumlah Akun</t>
        </is>
      </c>
      <c r="D18" s="9" t="inlineStr">
        <is>
          <t>Persentase (%)</t>
        </is>
      </c>
    </row>
    <row r="19" ht="20" customHeight="1">
      <c r="A19" s="36" t="inlineStr">
        <is>
          <t>Level 1</t>
        </is>
      </c>
      <c r="B19" s="14" t="inlineStr">
        <is>
          <t>Level 1 - Kategori Utama Root</t>
        </is>
      </c>
      <c r="C19" s="36">
        <f>COUNTIF('Chart of Accounts'!$C$6:$C$70, 1)</f>
        <v/>
      </c>
      <c r="D19" s="45">
        <f>C19/$D$14</f>
        <v/>
      </c>
    </row>
    <row r="20" ht="20" customHeight="1">
      <c r="A20" s="36" t="inlineStr">
        <is>
          <t>Level 2</t>
        </is>
      </c>
      <c r="B20" s="14" t="inlineStr">
        <is>
          <t>Level 2 - Sub-Kelompok Utama</t>
        </is>
      </c>
      <c r="C20" s="36">
        <f>COUNTIF('Chart of Accounts'!$C$6:$C$70, 2)</f>
        <v/>
      </c>
      <c r="D20" s="45">
        <f>C20/$D$14</f>
        <v/>
      </c>
    </row>
    <row r="21" ht="20" customHeight="1">
      <c r="A21" s="36" t="inlineStr">
        <is>
          <t>Level 3</t>
        </is>
      </c>
      <c r="B21" s="14" t="inlineStr">
        <is>
          <t>Level 3 - Akun Induk / Group</t>
        </is>
      </c>
      <c r="C21" s="36">
        <f>COUNTIF('Chart of Accounts'!$C$6:$C$70, 3)</f>
        <v/>
      </c>
      <c r="D21" s="45">
        <f>C21/$D$14</f>
        <v/>
      </c>
    </row>
    <row r="22" ht="20" customHeight="1">
      <c r="A22" s="36" t="inlineStr">
        <is>
          <t>Level 4</t>
        </is>
      </c>
      <c r="B22" s="14" t="inlineStr">
        <is>
          <t>Level 4 - Akun Detail Transaksi</t>
        </is>
      </c>
      <c r="C22" s="36">
        <f>COUNTIF('Chart of Accounts'!$C$6:$C$70, 4)</f>
        <v/>
      </c>
      <c r="D22" s="45">
        <f>C22/$D$14</f>
        <v/>
      </c>
    </row>
  </sheetData>
  <mergeCells count="4">
    <mergeCell ref="A2:F2"/>
    <mergeCell ref="A17:D17"/>
    <mergeCell ref="A1:F1"/>
    <mergeCell ref="A5: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2026-09-23T05:38:15Z</dcterms:created>
  <dcterms:modified xmlns:dcterms="http://purl.org/dc/terms/" xmlns:xsi="http://www.w3.org/2001/XMLSchema-instance" xsi:type="dcterms:W3CDTF">2026-09-23T05:38:15Z</dcterms:modified>
</cp:coreProperties>
</file>